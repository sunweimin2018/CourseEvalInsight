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swm\Desktop\raw\"/>
    </mc:Choice>
  </mc:AlternateContent>
  <xr:revisionPtr revIDLastSave="0" documentId="13_ncr:1_{D93A11E8-B01D-4B12-A6C7-0AEFEA48A820}" xr6:coauthVersionLast="36" xr6:coauthVersionMax="36" xr10:uidLastSave="{00000000-0000-0000-0000-000000000000}"/>
  <bookViews>
    <workbookView xWindow="0" yWindow="0" windowWidth="19440" windowHeight="11520" xr2:uid="{00000000-000D-0000-FFFF-FFFF00000000}"/>
  </bookViews>
  <sheets>
    <sheet name="Sheet1" sheetId="11" r:id="rId1"/>
  </sheets>
  <definedNames>
    <definedName name="_xlnm.Print_Titles" localSheetId="0">Sheet1!$1:$3</definedName>
  </definedNames>
  <calcPr calcId="191029"/>
</workbook>
</file>

<file path=xl/calcChain.xml><?xml version="1.0" encoding="utf-8"?>
<calcChain xmlns="http://schemas.openxmlformats.org/spreadsheetml/2006/main">
  <c r="H97" i="11" l="1"/>
  <c r="I97" i="11"/>
  <c r="N97" i="11"/>
  <c r="J97" i="11"/>
  <c r="H98" i="11"/>
  <c r="M98" i="11"/>
  <c r="N98" i="11"/>
  <c r="J98" i="11"/>
  <c r="H99" i="11"/>
  <c r="I99" i="11"/>
  <c r="N99" i="11"/>
  <c r="J99" i="11"/>
  <c r="H100" i="11"/>
  <c r="M100" i="11"/>
  <c r="N100" i="11"/>
  <c r="J100" i="11"/>
  <c r="H101" i="11"/>
  <c r="I101" i="11"/>
  <c r="N101" i="11"/>
  <c r="J101" i="11"/>
  <c r="H102" i="11"/>
  <c r="M102" i="11"/>
  <c r="N102" i="11"/>
  <c r="J102" i="11"/>
  <c r="H103" i="11"/>
  <c r="I103" i="11"/>
  <c r="N103" i="11"/>
  <c r="J103" i="11"/>
  <c r="H104" i="11"/>
  <c r="M104" i="11"/>
  <c r="N104" i="11"/>
  <c r="J104" i="11"/>
  <c r="H105" i="11"/>
  <c r="I105" i="11"/>
  <c r="N105" i="11"/>
  <c r="J105" i="11"/>
  <c r="H106" i="11"/>
  <c r="M106" i="11"/>
  <c r="N106" i="11"/>
  <c r="J106" i="11"/>
  <c r="H107" i="11"/>
  <c r="I107" i="11"/>
  <c r="N107" i="11"/>
  <c r="J107" i="11"/>
  <c r="H108" i="11"/>
  <c r="M108" i="11"/>
  <c r="N108" i="11"/>
  <c r="J108" i="11"/>
  <c r="H109" i="11"/>
  <c r="I109" i="11"/>
  <c r="N109" i="11"/>
  <c r="J109" i="11"/>
  <c r="H110" i="11"/>
  <c r="M110" i="11"/>
  <c r="N110" i="11"/>
  <c r="J110" i="11"/>
  <c r="Q111" i="11"/>
  <c r="I111" i="11"/>
  <c r="N111" i="11"/>
  <c r="J111" i="11"/>
  <c r="L112" i="11"/>
  <c r="I112" i="11"/>
  <c r="N112" i="11"/>
  <c r="J112" i="11"/>
  <c r="H113" i="11"/>
  <c r="I113" i="11"/>
  <c r="N113" i="11"/>
  <c r="J113" i="11"/>
  <c r="L114" i="11"/>
  <c r="I114" i="11"/>
  <c r="N114" i="11"/>
  <c r="J114" i="11"/>
  <c r="H115" i="11"/>
  <c r="R115" i="11"/>
  <c r="N115" i="11"/>
  <c r="J115" i="11"/>
  <c r="L116" i="11"/>
  <c r="M116" i="11"/>
  <c r="N116" i="11"/>
  <c r="J116" i="11"/>
  <c r="J6" i="11"/>
  <c r="D118" i="11" l="1"/>
  <c r="C118" i="11"/>
  <c r="L111" i="11"/>
  <c r="T103" i="11"/>
  <c r="F118" i="11"/>
  <c r="E118" i="11"/>
  <c r="T109" i="11"/>
  <c r="T101" i="11"/>
  <c r="G118" i="11"/>
  <c r="T107" i="11"/>
  <c r="T99" i="11"/>
  <c r="H114" i="11"/>
  <c r="T105" i="11"/>
  <c r="T97" i="11"/>
  <c r="I115" i="11"/>
  <c r="Q113" i="11"/>
  <c r="M112" i="11"/>
  <c r="H111" i="11"/>
  <c r="O109" i="11"/>
  <c r="O107" i="11"/>
  <c r="O105" i="11"/>
  <c r="O103" i="11"/>
  <c r="O101" i="11"/>
  <c r="O99" i="11"/>
  <c r="O97" i="11"/>
  <c r="I116" i="11"/>
  <c r="R114" i="11"/>
  <c r="L113" i="11"/>
  <c r="H112" i="11"/>
  <c r="Q110" i="11"/>
  <c r="Q108" i="11"/>
  <c r="Q106" i="11"/>
  <c r="Q104" i="11"/>
  <c r="Q102" i="11"/>
  <c r="Q100" i="11"/>
  <c r="Q98" i="11"/>
  <c r="M115" i="11"/>
  <c r="R112" i="11"/>
  <c r="M114" i="11"/>
  <c r="L110" i="11"/>
  <c r="L108" i="11"/>
  <c r="L106" i="11"/>
  <c r="L104" i="11"/>
  <c r="L102" i="11"/>
  <c r="L100" i="11"/>
  <c r="L98" i="11"/>
  <c r="R116" i="11"/>
  <c r="H116" i="11"/>
  <c r="Q115" i="11"/>
  <c r="L115" i="11"/>
  <c r="Q114" i="11"/>
  <c r="T113" i="11"/>
  <c r="O113" i="11"/>
  <c r="Q112" i="11"/>
  <c r="T111" i="11"/>
  <c r="O111" i="11"/>
  <c r="T110" i="11"/>
  <c r="O110" i="11"/>
  <c r="S109" i="11"/>
  <c r="T108" i="11"/>
  <c r="O108" i="11"/>
  <c r="S107" i="11"/>
  <c r="T106" i="11"/>
  <c r="O106" i="11"/>
  <c r="S105" i="11"/>
  <c r="T104" i="11"/>
  <c r="O104" i="11"/>
  <c r="S103" i="11"/>
  <c r="T102" i="11"/>
  <c r="O102" i="11"/>
  <c r="S101" i="11"/>
  <c r="T100" i="11"/>
  <c r="O100" i="11"/>
  <c r="S99" i="11"/>
  <c r="T98" i="11"/>
  <c r="O98" i="11"/>
  <c r="S97" i="11"/>
  <c r="Q116" i="11"/>
  <c r="T115" i="11"/>
  <c r="O115" i="11"/>
  <c r="T114" i="11"/>
  <c r="O114" i="11"/>
  <c r="S113" i="11"/>
  <c r="T112" i="11"/>
  <c r="O112" i="11"/>
  <c r="S111" i="11"/>
  <c r="S110" i="11"/>
  <c r="I110" i="11"/>
  <c r="R109" i="11"/>
  <c r="M109" i="11"/>
  <c r="S108" i="11"/>
  <c r="I108" i="11"/>
  <c r="R107" i="11"/>
  <c r="M107" i="11"/>
  <c r="S106" i="11"/>
  <c r="I106" i="11"/>
  <c r="R105" i="11"/>
  <c r="M105" i="11"/>
  <c r="S104" i="11"/>
  <c r="I104" i="11"/>
  <c r="R103" i="11"/>
  <c r="M103" i="11"/>
  <c r="S102" i="11"/>
  <c r="I102" i="11"/>
  <c r="R101" i="11"/>
  <c r="M101" i="11"/>
  <c r="S100" i="11"/>
  <c r="I100" i="11"/>
  <c r="R99" i="11"/>
  <c r="M99" i="11"/>
  <c r="S98" i="11"/>
  <c r="I98" i="11"/>
  <c r="R97" i="11"/>
  <c r="M97" i="11"/>
  <c r="S116" i="11"/>
  <c r="T116" i="11"/>
  <c r="O116" i="11"/>
  <c r="S115" i="11"/>
  <c r="S114" i="11"/>
  <c r="R113" i="11"/>
  <c r="M113" i="11"/>
  <c r="S112" i="11"/>
  <c r="R111" i="11"/>
  <c r="M111" i="11"/>
  <c r="R110" i="11"/>
  <c r="Q109" i="11"/>
  <c r="L109" i="11"/>
  <c r="R108" i="11"/>
  <c r="Q107" i="11"/>
  <c r="L107" i="11"/>
  <c r="R106" i="11"/>
  <c r="Q105" i="11"/>
  <c r="L105" i="11"/>
  <c r="R104" i="11"/>
  <c r="Q103" i="11"/>
  <c r="L103" i="11"/>
  <c r="R102" i="11"/>
  <c r="Q101" i="11"/>
  <c r="L101" i="11"/>
  <c r="R100" i="11"/>
  <c r="Q99" i="11"/>
  <c r="L99" i="11"/>
  <c r="R98" i="11"/>
  <c r="Q97" i="11"/>
  <c r="L97" i="11"/>
  <c r="T126" i="11" l="1"/>
  <c r="S126" i="11"/>
  <c r="R126" i="11"/>
  <c r="Q126" i="11"/>
  <c r="O126" i="11"/>
  <c r="N126" i="11"/>
  <c r="M126" i="11"/>
  <c r="L126" i="11"/>
  <c r="J126" i="11"/>
  <c r="I126" i="11"/>
  <c r="H126" i="11"/>
  <c r="T125" i="11"/>
  <c r="S125" i="11"/>
  <c r="R125" i="11"/>
  <c r="Q125" i="11"/>
  <c r="O125" i="11"/>
  <c r="N125" i="11"/>
  <c r="M125" i="11"/>
  <c r="L125" i="11"/>
  <c r="J125" i="11"/>
  <c r="I125" i="11"/>
  <c r="H125" i="11"/>
  <c r="T124" i="11"/>
  <c r="S124" i="11"/>
  <c r="R124" i="11"/>
  <c r="Q124" i="11"/>
  <c r="O124" i="11"/>
  <c r="N124" i="11"/>
  <c r="M124" i="11"/>
  <c r="L124" i="11"/>
  <c r="J124" i="11"/>
  <c r="I124" i="11"/>
  <c r="H124" i="11"/>
  <c r="U4" i="11" l="1"/>
  <c r="P4" i="11"/>
  <c r="K4" i="11"/>
  <c r="U104" i="11" l="1"/>
  <c r="U100" i="11"/>
  <c r="U101" i="11"/>
  <c r="U99" i="11"/>
  <c r="U102" i="11"/>
  <c r="U109" i="11"/>
  <c r="U107" i="11"/>
  <c r="U108" i="11"/>
  <c r="U111" i="11"/>
  <c r="U114" i="11"/>
  <c r="U112" i="11"/>
  <c r="U115" i="11"/>
  <c r="U97" i="11"/>
  <c r="U110" i="11"/>
  <c r="U106" i="11"/>
  <c r="U113" i="11"/>
  <c r="U116" i="11"/>
  <c r="U98" i="11"/>
  <c r="U103" i="11"/>
  <c r="U105" i="11"/>
  <c r="K114" i="11"/>
  <c r="K107" i="11"/>
  <c r="K99" i="11"/>
  <c r="K109" i="11"/>
  <c r="K101" i="11"/>
  <c r="K112" i="11"/>
  <c r="K105" i="11"/>
  <c r="K97" i="11"/>
  <c r="K113" i="11"/>
  <c r="K115" i="11"/>
  <c r="K103" i="11"/>
  <c r="K111" i="11"/>
  <c r="K100" i="11"/>
  <c r="K108" i="11"/>
  <c r="K102" i="11"/>
  <c r="K110" i="11"/>
  <c r="K116" i="11"/>
  <c r="K104" i="11"/>
  <c r="K98" i="11"/>
  <c r="K106" i="11"/>
  <c r="P110" i="11"/>
  <c r="P102" i="11"/>
  <c r="P108" i="11"/>
  <c r="P100" i="11"/>
  <c r="P116" i="11"/>
  <c r="P98" i="11"/>
  <c r="P104" i="11"/>
  <c r="P107" i="11"/>
  <c r="P111" i="11"/>
  <c r="P114" i="11"/>
  <c r="P112" i="11"/>
  <c r="P106" i="11"/>
  <c r="P99" i="11"/>
  <c r="P109" i="11"/>
  <c r="P101" i="11"/>
  <c r="P97" i="11"/>
  <c r="P113" i="11"/>
  <c r="P103" i="11"/>
  <c r="P115" i="11"/>
  <c r="P105" i="11"/>
  <c r="K125" i="11"/>
  <c r="K124" i="11"/>
  <c r="K126" i="11"/>
  <c r="U125" i="11"/>
  <c r="U126" i="11"/>
  <c r="U124" i="11"/>
  <c r="P126" i="11"/>
  <c r="P124" i="11"/>
  <c r="P125" i="11"/>
  <c r="L44" i="11" l="1"/>
  <c r="H69" i="11"/>
  <c r="H7" i="11"/>
  <c r="H73" i="11"/>
  <c r="H78" i="11"/>
  <c r="H38" i="11"/>
  <c r="H61" i="11"/>
  <c r="H77" i="11"/>
  <c r="H29" i="11"/>
  <c r="H58" i="11"/>
  <c r="H34" i="11"/>
  <c r="H36" i="11"/>
  <c r="H79" i="11"/>
  <c r="H17" i="11"/>
  <c r="H96" i="11"/>
  <c r="H15" i="11"/>
  <c r="H14" i="11"/>
  <c r="H57" i="11"/>
  <c r="H91" i="11"/>
  <c r="H35" i="11"/>
  <c r="H54" i="11"/>
  <c r="H71" i="11"/>
  <c r="H39" i="11"/>
  <c r="H13" i="11"/>
  <c r="H92" i="11"/>
  <c r="H48" i="11"/>
  <c r="H50" i="11"/>
  <c r="H85" i="11"/>
  <c r="Q44" i="11"/>
  <c r="H72" i="11"/>
  <c r="H18" i="11"/>
  <c r="H70" i="11"/>
  <c r="H28" i="11"/>
  <c r="H94" i="11"/>
  <c r="H84" i="11"/>
  <c r="H59" i="11"/>
  <c r="H32" i="11"/>
  <c r="H22" i="11"/>
  <c r="L14" i="11"/>
  <c r="L92" i="11"/>
  <c r="Q59" i="11"/>
  <c r="Q35" i="11"/>
  <c r="Q23" i="11"/>
  <c r="Q40" i="11"/>
  <c r="Q43" i="11"/>
  <c r="L89" i="11"/>
  <c r="H45" i="11"/>
  <c r="H30" i="11"/>
  <c r="H63" i="11"/>
  <c r="Q47" i="11"/>
  <c r="Q66" i="11"/>
  <c r="L95" i="11"/>
  <c r="L51" i="11"/>
  <c r="L41" i="11"/>
  <c r="Q64" i="11"/>
  <c r="Q87" i="11"/>
  <c r="L33" i="11"/>
  <c r="Q6" i="11"/>
  <c r="Q77" i="11"/>
  <c r="L82" i="11"/>
  <c r="Q26" i="11"/>
  <c r="L43" i="11"/>
  <c r="Q94" i="11"/>
  <c r="H24" i="11"/>
  <c r="H12" i="11"/>
  <c r="H87" i="11"/>
  <c r="H86" i="11"/>
  <c r="H37" i="11"/>
  <c r="H66" i="11"/>
  <c r="H40" i="11"/>
  <c r="H55" i="11"/>
  <c r="H88" i="11"/>
  <c r="H80" i="11"/>
  <c r="H41" i="11"/>
  <c r="H44" i="11"/>
  <c r="Q96" i="11"/>
  <c r="L7" i="11"/>
  <c r="Q13" i="11"/>
  <c r="L16" i="11"/>
  <c r="H82" i="11"/>
  <c r="Q91" i="11"/>
  <c r="T18" i="11"/>
  <c r="T42" i="11"/>
  <c r="T14" i="11"/>
  <c r="T15" i="11"/>
  <c r="T8" i="11"/>
  <c r="T24" i="11"/>
  <c r="T40" i="11"/>
  <c r="T55" i="11"/>
  <c r="T35" i="11"/>
  <c r="T5" i="11"/>
  <c r="T21" i="11"/>
  <c r="T37" i="11"/>
  <c r="T52" i="11"/>
  <c r="T84" i="11"/>
  <c r="T83" i="11"/>
  <c r="T87" i="11"/>
  <c r="T60" i="11"/>
  <c r="T64" i="11"/>
  <c r="T82" i="11"/>
  <c r="T66" i="11"/>
  <c r="T89" i="11"/>
  <c r="T73" i="11"/>
  <c r="T26" i="11"/>
  <c r="T34" i="11"/>
  <c r="T57" i="11"/>
  <c r="T22" i="11"/>
  <c r="T27" i="11"/>
  <c r="T12" i="11"/>
  <c r="T28" i="11"/>
  <c r="T19" i="11"/>
  <c r="T43" i="11"/>
  <c r="T9" i="11"/>
  <c r="T25" i="11"/>
  <c r="T41" i="11"/>
  <c r="T96" i="11"/>
  <c r="T76" i="11"/>
  <c r="T75" i="11"/>
  <c r="T71" i="11"/>
  <c r="T88" i="11"/>
  <c r="T94" i="11"/>
  <c r="T78" i="11"/>
  <c r="T62" i="11"/>
  <c r="T85" i="11"/>
  <c r="T69" i="11"/>
  <c r="T10" i="11"/>
  <c r="T30" i="11"/>
  <c r="T39" i="11"/>
  <c r="T32" i="11"/>
  <c r="T23" i="11"/>
  <c r="T13" i="11"/>
  <c r="T44" i="11"/>
  <c r="T68" i="11"/>
  <c r="T63" i="11"/>
  <c r="T90" i="11"/>
  <c r="T58" i="11"/>
  <c r="T65" i="11"/>
  <c r="T49" i="11"/>
  <c r="T38" i="11"/>
  <c r="T16" i="11"/>
  <c r="T47" i="11"/>
  <c r="T46" i="11"/>
  <c r="T29" i="11"/>
  <c r="T79" i="11"/>
  <c r="T67" i="11"/>
  <c r="T80" i="11"/>
  <c r="T74" i="11"/>
  <c r="T81" i="11"/>
  <c r="T7" i="11"/>
  <c r="T20" i="11"/>
  <c r="T54" i="11"/>
  <c r="T92" i="11"/>
  <c r="T72" i="11"/>
  <c r="T77" i="11"/>
  <c r="T6" i="11"/>
  <c r="T36" i="11"/>
  <c r="T17" i="11"/>
  <c r="T91" i="11"/>
  <c r="T86" i="11"/>
  <c r="T61" i="11"/>
  <c r="T53" i="11"/>
  <c r="T51" i="11"/>
  <c r="T33" i="11"/>
  <c r="T59" i="11"/>
  <c r="T70" i="11"/>
  <c r="T31" i="11"/>
  <c r="T48" i="11"/>
  <c r="T45" i="11"/>
  <c r="T95" i="11"/>
  <c r="T50" i="11"/>
  <c r="T93" i="11"/>
  <c r="O30" i="11"/>
  <c r="O49" i="11"/>
  <c r="O38" i="11"/>
  <c r="O18" i="11"/>
  <c r="O57" i="11"/>
  <c r="O35" i="11"/>
  <c r="O8" i="11"/>
  <c r="O24" i="11"/>
  <c r="O40" i="11"/>
  <c r="O55" i="11"/>
  <c r="O9" i="11"/>
  <c r="O25" i="11"/>
  <c r="O41" i="11"/>
  <c r="O83" i="11"/>
  <c r="O64" i="11"/>
  <c r="O63" i="11"/>
  <c r="O67" i="11"/>
  <c r="O84" i="11"/>
  <c r="O94" i="11"/>
  <c r="O78" i="11"/>
  <c r="O62" i="11"/>
  <c r="O45" i="11"/>
  <c r="O7" i="11"/>
  <c r="O53" i="11"/>
  <c r="O10" i="11"/>
  <c r="O19" i="11"/>
  <c r="O43" i="11"/>
  <c r="O12" i="11"/>
  <c r="O28" i="11"/>
  <c r="O27" i="11"/>
  <c r="O13" i="11"/>
  <c r="O29" i="11"/>
  <c r="O44" i="11"/>
  <c r="O59" i="11"/>
  <c r="O87" i="11"/>
  <c r="O96" i="11"/>
  <c r="O80" i="11"/>
  <c r="O76" i="11"/>
  <c r="O90" i="11"/>
  <c r="O74" i="11"/>
  <c r="O58" i="11"/>
  <c r="O15" i="11"/>
  <c r="O26" i="11"/>
  <c r="O46" i="11"/>
  <c r="O32" i="11"/>
  <c r="O39" i="11"/>
  <c r="O33" i="11"/>
  <c r="O95" i="11"/>
  <c r="O91" i="11"/>
  <c r="O68" i="11"/>
  <c r="O70" i="11"/>
  <c r="O85" i="11"/>
  <c r="O69" i="11"/>
  <c r="O5" i="11"/>
  <c r="O6" i="11"/>
  <c r="O23" i="11"/>
  <c r="O16" i="11"/>
  <c r="O47" i="11"/>
  <c r="O17" i="11"/>
  <c r="O48" i="11"/>
  <c r="O79" i="11"/>
  <c r="O72" i="11"/>
  <c r="O86" i="11"/>
  <c r="O93" i="11"/>
  <c r="O14" i="11"/>
  <c r="O20" i="11"/>
  <c r="O21" i="11"/>
  <c r="O71" i="11"/>
  <c r="O82" i="11"/>
  <c r="O77" i="11"/>
  <c r="O42" i="11"/>
  <c r="O36" i="11"/>
  <c r="O37" i="11"/>
  <c r="O75" i="11"/>
  <c r="O66" i="11"/>
  <c r="O73" i="11"/>
  <c r="O34" i="11"/>
  <c r="O31" i="11"/>
  <c r="O51" i="11"/>
  <c r="O52" i="11"/>
  <c r="O92" i="11"/>
  <c r="O89" i="11"/>
  <c r="O65" i="11"/>
  <c r="O22" i="11"/>
  <c r="O60" i="11"/>
  <c r="O54" i="11"/>
  <c r="O81" i="11"/>
  <c r="O88" i="11"/>
  <c r="O50" i="11"/>
  <c r="O61" i="11"/>
  <c r="H64" i="11"/>
  <c r="H51" i="11"/>
  <c r="H16" i="11"/>
  <c r="H83" i="11"/>
  <c r="H90" i="11"/>
  <c r="H62" i="11"/>
  <c r="H81" i="11"/>
  <c r="H31" i="11"/>
  <c r="H49" i="11"/>
  <c r="H43" i="11"/>
  <c r="H19" i="11"/>
  <c r="Q62" i="11"/>
  <c r="L80" i="11"/>
  <c r="Q46" i="11"/>
  <c r="L28" i="11"/>
  <c r="Q19" i="11"/>
  <c r="Q24" i="11"/>
  <c r="Q36" i="11"/>
  <c r="L61" i="11"/>
  <c r="L35" i="11"/>
  <c r="Q16" i="11"/>
  <c r="L50" i="11"/>
  <c r="L74" i="11"/>
  <c r="L65" i="11"/>
  <c r="L45" i="11"/>
  <c r="L20" i="11"/>
  <c r="L96" i="11"/>
  <c r="Q8" i="11"/>
  <c r="L10" i="11"/>
  <c r="Q75" i="11"/>
  <c r="L63" i="11"/>
  <c r="Q67" i="11"/>
  <c r="Q37" i="11"/>
  <c r="L6" i="11"/>
  <c r="L31" i="11"/>
  <c r="Q28" i="11"/>
  <c r="Q81" i="11"/>
  <c r="Q58" i="11"/>
  <c r="L32" i="11"/>
  <c r="L29" i="11"/>
  <c r="L52" i="11"/>
  <c r="Q7" i="11"/>
  <c r="L54" i="11"/>
  <c r="L72" i="11"/>
  <c r="Q65" i="11"/>
  <c r="L18" i="11"/>
  <c r="L85" i="11"/>
  <c r="L69" i="11"/>
  <c r="H5" i="11"/>
  <c r="Q73" i="11"/>
  <c r="Q20" i="11"/>
  <c r="H75" i="11"/>
  <c r="H52" i="11"/>
  <c r="H68" i="11"/>
  <c r="H42" i="11"/>
  <c r="H33" i="11"/>
  <c r="H95" i="11"/>
  <c r="L78" i="11"/>
  <c r="L38" i="11"/>
  <c r="L64" i="11"/>
  <c r="L87" i="11"/>
  <c r="Q32" i="11"/>
  <c r="L58" i="11"/>
  <c r="L83" i="11"/>
  <c r="Q78" i="11"/>
  <c r="L47" i="11"/>
  <c r="L22" i="11"/>
  <c r="Q52" i="11"/>
  <c r="Q17" i="11"/>
  <c r="L79" i="11"/>
  <c r="Q34" i="11"/>
  <c r="Q80" i="11"/>
  <c r="Q22" i="11"/>
  <c r="Q92" i="11"/>
  <c r="L60" i="11"/>
  <c r="L15" i="11"/>
  <c r="Q57" i="11"/>
  <c r="J7" i="11"/>
  <c r="J53" i="11"/>
  <c r="J15" i="11"/>
  <c r="J5" i="11"/>
  <c r="J26" i="11"/>
  <c r="J10" i="11"/>
  <c r="J45" i="11"/>
  <c r="J46" i="11"/>
  <c r="J16" i="11"/>
  <c r="J32" i="11"/>
  <c r="J47" i="11"/>
  <c r="J31" i="11"/>
  <c r="J9" i="11"/>
  <c r="J25" i="11"/>
  <c r="J41" i="11"/>
  <c r="J96" i="11"/>
  <c r="J91" i="11"/>
  <c r="J59" i="11"/>
  <c r="J84" i="11"/>
  <c r="J88" i="11"/>
  <c r="J94" i="11"/>
  <c r="J78" i="11"/>
  <c r="J62" i="11"/>
  <c r="J85" i="11"/>
  <c r="J69" i="11"/>
  <c r="J34" i="11"/>
  <c r="J42" i="11"/>
  <c r="J22" i="11"/>
  <c r="J23" i="11"/>
  <c r="J50" i="11"/>
  <c r="J20" i="11"/>
  <c r="J36" i="11"/>
  <c r="J51" i="11"/>
  <c r="J35" i="11"/>
  <c r="J13" i="11"/>
  <c r="J29" i="11"/>
  <c r="J44" i="11"/>
  <c r="J87" i="11"/>
  <c r="J83" i="11"/>
  <c r="J95" i="11"/>
  <c r="J76" i="11"/>
  <c r="J80" i="11"/>
  <c r="J90" i="11"/>
  <c r="J74" i="11"/>
  <c r="J58" i="11"/>
  <c r="J81" i="11"/>
  <c r="J65" i="11"/>
  <c r="J49" i="11"/>
  <c r="J57" i="11"/>
  <c r="J14" i="11"/>
  <c r="J27" i="11"/>
  <c r="J8" i="11"/>
  <c r="J24" i="11"/>
  <c r="J40" i="11"/>
  <c r="J55" i="11"/>
  <c r="J43" i="11"/>
  <c r="J17" i="11"/>
  <c r="J33" i="11"/>
  <c r="J48" i="11"/>
  <c r="J71" i="11"/>
  <c r="J75" i="11"/>
  <c r="J79" i="11"/>
  <c r="J68" i="11"/>
  <c r="J72" i="11"/>
  <c r="J86" i="11"/>
  <c r="J70" i="11"/>
  <c r="J93" i="11"/>
  <c r="J77" i="11"/>
  <c r="J61" i="11"/>
  <c r="J18" i="11"/>
  <c r="J28" i="11"/>
  <c r="J21" i="11"/>
  <c r="J67" i="11"/>
  <c r="J82" i="11"/>
  <c r="J30" i="11"/>
  <c r="J37" i="11"/>
  <c r="J92" i="11"/>
  <c r="J66" i="11"/>
  <c r="J12" i="11"/>
  <c r="J64" i="11"/>
  <c r="J39" i="11"/>
  <c r="J19" i="11"/>
  <c r="J52" i="11"/>
  <c r="J60" i="11"/>
  <c r="J89" i="11"/>
  <c r="J38" i="11"/>
  <c r="J54" i="11"/>
  <c r="J63" i="11"/>
  <c r="J73" i="11"/>
  <c r="H46" i="11"/>
  <c r="H10" i="11"/>
  <c r="H23" i="11"/>
  <c r="H6" i="11"/>
  <c r="H67" i="11"/>
  <c r="Q10" i="11"/>
  <c r="Q30" i="11"/>
  <c r="L73" i="11"/>
  <c r="Q51" i="11"/>
  <c r="Q29" i="11"/>
  <c r="L75" i="11"/>
  <c r="Q33" i="11"/>
  <c r="Q89" i="11"/>
  <c r="H20" i="11"/>
  <c r="Q27" i="11"/>
  <c r="L66" i="11"/>
  <c r="Q68" i="11"/>
  <c r="L67" i="11"/>
  <c r="Q90" i="11"/>
  <c r="Q61" i="11"/>
  <c r="L23" i="11"/>
  <c r="L8" i="11"/>
  <c r="H60" i="11"/>
  <c r="H47" i="11"/>
  <c r="H8" i="11"/>
  <c r="H25" i="11"/>
  <c r="Q86" i="11"/>
  <c r="Q72" i="11"/>
  <c r="L76" i="11"/>
  <c r="Q93" i="11"/>
  <c r="Q39" i="11"/>
  <c r="Q76" i="11"/>
  <c r="L81" i="11"/>
  <c r="Q18" i="11"/>
  <c r="L59" i="11"/>
  <c r="L55" i="11"/>
  <c r="Q45" i="11"/>
  <c r="Q83" i="11"/>
  <c r="L40" i="11"/>
  <c r="Q88" i="11"/>
  <c r="L25" i="11"/>
  <c r="L39" i="11"/>
  <c r="Q21" i="11"/>
  <c r="Q31" i="11"/>
  <c r="Q42" i="11"/>
  <c r="L9" i="11"/>
  <c r="L94" i="11"/>
  <c r="L71" i="11"/>
  <c r="Q69" i="11"/>
  <c r="H76" i="11"/>
  <c r="H26" i="11"/>
  <c r="Q12" i="11"/>
  <c r="L12" i="11"/>
  <c r="Q38" i="11"/>
  <c r="L62" i="11"/>
  <c r="L13" i="11"/>
  <c r="Q60" i="11"/>
  <c r="L90" i="11"/>
  <c r="L91" i="11"/>
  <c r="Q50" i="11"/>
  <c r="Q95" i="11"/>
  <c r="L48" i="11"/>
  <c r="L27" i="11"/>
  <c r="H89" i="11"/>
  <c r="Q15" i="11"/>
  <c r="Q41" i="11"/>
  <c r="R16" i="11"/>
  <c r="R20" i="11"/>
  <c r="R28" i="11"/>
  <c r="R40" i="11"/>
  <c r="R41" i="11"/>
  <c r="R14" i="11"/>
  <c r="R30" i="11"/>
  <c r="R45" i="11"/>
  <c r="R21" i="11"/>
  <c r="R44" i="11"/>
  <c r="R19" i="11"/>
  <c r="R35" i="11"/>
  <c r="R50" i="11"/>
  <c r="R86" i="11"/>
  <c r="R85" i="11"/>
  <c r="R89" i="11"/>
  <c r="R62" i="11"/>
  <c r="R74" i="11"/>
  <c r="R88" i="11"/>
  <c r="R72" i="11"/>
  <c r="R91" i="11"/>
  <c r="R75" i="11"/>
  <c r="R59" i="11"/>
  <c r="R32" i="11"/>
  <c r="R36" i="11"/>
  <c r="R12" i="11"/>
  <c r="R55" i="11"/>
  <c r="R52" i="11"/>
  <c r="R18" i="11"/>
  <c r="R34" i="11"/>
  <c r="R49" i="11"/>
  <c r="R25" i="11"/>
  <c r="R48" i="11"/>
  <c r="R23" i="11"/>
  <c r="R39" i="11"/>
  <c r="R54" i="11"/>
  <c r="R78" i="11"/>
  <c r="R77" i="11"/>
  <c r="R73" i="11"/>
  <c r="R95" i="11"/>
  <c r="R66" i="11"/>
  <c r="R84" i="11"/>
  <c r="R68" i="11"/>
  <c r="R87" i="11"/>
  <c r="R71" i="11"/>
  <c r="R47" i="11"/>
  <c r="R51" i="11"/>
  <c r="R8" i="11"/>
  <c r="R17" i="11"/>
  <c r="R6" i="11"/>
  <c r="R22" i="11"/>
  <c r="R38" i="11"/>
  <c r="R53" i="11"/>
  <c r="R33" i="11"/>
  <c r="R7" i="11"/>
  <c r="R27" i="11"/>
  <c r="R43" i="11"/>
  <c r="R81" i="11"/>
  <c r="R96" i="11"/>
  <c r="R69" i="11"/>
  <c r="R94" i="11"/>
  <c r="R90" i="11"/>
  <c r="R58" i="11"/>
  <c r="R80" i="11"/>
  <c r="R64" i="11"/>
  <c r="R83" i="11"/>
  <c r="R67" i="11"/>
  <c r="R13" i="11"/>
  <c r="R10" i="11"/>
  <c r="R37" i="11"/>
  <c r="R65" i="11"/>
  <c r="R82" i="11"/>
  <c r="R79" i="11"/>
  <c r="R9" i="11"/>
  <c r="R26" i="11"/>
  <c r="R15" i="11"/>
  <c r="R93" i="11"/>
  <c r="R92" i="11"/>
  <c r="R63" i="11"/>
  <c r="R57" i="11"/>
  <c r="R70" i="11"/>
  <c r="R24" i="11"/>
  <c r="R42" i="11"/>
  <c r="R31" i="11"/>
  <c r="R61" i="11"/>
  <c r="R76" i="11"/>
  <c r="R29" i="11"/>
  <c r="R46" i="11"/>
  <c r="R60" i="11"/>
  <c r="M20" i="11"/>
  <c r="M24" i="11"/>
  <c r="M32" i="11"/>
  <c r="M21" i="11"/>
  <c r="M44" i="11"/>
  <c r="M14" i="11"/>
  <c r="M30" i="11"/>
  <c r="M45" i="11"/>
  <c r="M17" i="11"/>
  <c r="M7" i="11"/>
  <c r="M27" i="11"/>
  <c r="M43" i="11"/>
  <c r="M85" i="11"/>
  <c r="M95" i="11"/>
  <c r="M65" i="11"/>
  <c r="M82" i="11"/>
  <c r="M94" i="11"/>
  <c r="M62" i="11"/>
  <c r="M80" i="11"/>
  <c r="M64" i="11"/>
  <c r="M83" i="11"/>
  <c r="M67" i="11"/>
  <c r="M16" i="11"/>
  <c r="M36" i="11"/>
  <c r="M40" i="11"/>
  <c r="M12" i="11"/>
  <c r="M25" i="11"/>
  <c r="M48" i="11"/>
  <c r="M18" i="11"/>
  <c r="M34" i="11"/>
  <c r="M49" i="11"/>
  <c r="M29" i="11"/>
  <c r="M15" i="11"/>
  <c r="M31" i="11"/>
  <c r="M46" i="11"/>
  <c r="M69" i="11"/>
  <c r="M89" i="11"/>
  <c r="M93" i="11"/>
  <c r="M74" i="11"/>
  <c r="M86" i="11"/>
  <c r="M92" i="11"/>
  <c r="M76" i="11"/>
  <c r="M60" i="11"/>
  <c r="M79" i="11"/>
  <c r="M63" i="11"/>
  <c r="M47" i="11"/>
  <c r="M51" i="11"/>
  <c r="M55" i="11"/>
  <c r="M28" i="11"/>
  <c r="M33" i="11"/>
  <c r="M6" i="11"/>
  <c r="M22" i="11"/>
  <c r="M38" i="11"/>
  <c r="M53" i="11"/>
  <c r="M41" i="11"/>
  <c r="M19" i="11"/>
  <c r="M35" i="11"/>
  <c r="M50" i="11"/>
  <c r="M61" i="11"/>
  <c r="M81" i="11"/>
  <c r="M77" i="11"/>
  <c r="M66" i="11"/>
  <c r="M78" i="11"/>
  <c r="M88" i="11"/>
  <c r="M72" i="11"/>
  <c r="M91" i="11"/>
  <c r="M75" i="11"/>
  <c r="M59" i="11"/>
  <c r="M13" i="11"/>
  <c r="M26" i="11"/>
  <c r="M23" i="11"/>
  <c r="M73" i="11"/>
  <c r="M84" i="11"/>
  <c r="M52" i="11"/>
  <c r="M42" i="11"/>
  <c r="M39" i="11"/>
  <c r="M90" i="11"/>
  <c r="M68" i="11"/>
  <c r="M9" i="11"/>
  <c r="M70" i="11"/>
  <c r="M8" i="11"/>
  <c r="M37" i="11"/>
  <c r="M57" i="11"/>
  <c r="M54" i="11"/>
  <c r="M58" i="11"/>
  <c r="M87" i="11"/>
  <c r="M10" i="11"/>
  <c r="M96" i="11"/>
  <c r="M71" i="11"/>
  <c r="S19" i="11"/>
  <c r="S39" i="11"/>
  <c r="S43" i="11"/>
  <c r="S46" i="11"/>
  <c r="S51" i="11"/>
  <c r="S17" i="11"/>
  <c r="S33" i="11"/>
  <c r="S48" i="11"/>
  <c r="S32" i="11"/>
  <c r="S55" i="11"/>
  <c r="S18" i="11"/>
  <c r="S34" i="11"/>
  <c r="S49" i="11"/>
  <c r="S72" i="11"/>
  <c r="S84" i="11"/>
  <c r="S80" i="11"/>
  <c r="S77" i="11"/>
  <c r="S81" i="11"/>
  <c r="S87" i="11"/>
  <c r="S71" i="11"/>
  <c r="S94" i="11"/>
  <c r="S78" i="11"/>
  <c r="S62" i="11"/>
  <c r="S35" i="11"/>
  <c r="S54" i="11"/>
  <c r="S7" i="11"/>
  <c r="S16" i="11"/>
  <c r="S5" i="11"/>
  <c r="S21" i="11"/>
  <c r="S37" i="11"/>
  <c r="S52" i="11"/>
  <c r="S36" i="11"/>
  <c r="S6" i="11"/>
  <c r="S22" i="11"/>
  <c r="S38" i="11"/>
  <c r="S53" i="11"/>
  <c r="S64" i="11"/>
  <c r="S76" i="11"/>
  <c r="S96" i="11"/>
  <c r="S69" i="11"/>
  <c r="S73" i="11"/>
  <c r="S83" i="11"/>
  <c r="S67" i="11"/>
  <c r="S90" i="11"/>
  <c r="S74" i="11"/>
  <c r="S58" i="11"/>
  <c r="S50" i="11"/>
  <c r="S12" i="11"/>
  <c r="S15" i="11"/>
  <c r="S28" i="11"/>
  <c r="S9" i="11"/>
  <c r="S25" i="11"/>
  <c r="S41" i="11"/>
  <c r="S20" i="11"/>
  <c r="S10" i="11"/>
  <c r="S26" i="11"/>
  <c r="S42" i="11"/>
  <c r="S57" i="11"/>
  <c r="S95" i="11"/>
  <c r="S68" i="11"/>
  <c r="S93" i="11"/>
  <c r="S61" i="11"/>
  <c r="S65" i="11"/>
  <c r="S79" i="11"/>
  <c r="S63" i="11"/>
  <c r="S86" i="11"/>
  <c r="S70" i="11"/>
  <c r="S8" i="11"/>
  <c r="S40" i="11"/>
  <c r="S24" i="11"/>
  <c r="S45" i="11"/>
  <c r="S85" i="11"/>
  <c r="S59" i="11"/>
  <c r="S23" i="11"/>
  <c r="S13" i="11"/>
  <c r="S47" i="11"/>
  <c r="S88" i="11"/>
  <c r="S89" i="11"/>
  <c r="S82" i="11"/>
  <c r="S31" i="11"/>
  <c r="S30" i="11"/>
  <c r="S75" i="11"/>
  <c r="S27" i="11"/>
  <c r="S29" i="11"/>
  <c r="S14" i="11"/>
  <c r="S92" i="11"/>
  <c r="S91" i="11"/>
  <c r="S66" i="11"/>
  <c r="S44" i="11"/>
  <c r="S60" i="11"/>
  <c r="N39" i="11"/>
  <c r="N43" i="11"/>
  <c r="N7" i="11"/>
  <c r="N20" i="11"/>
  <c r="N54" i="11"/>
  <c r="N8" i="11"/>
  <c r="N19" i="11"/>
  <c r="N24" i="11"/>
  <c r="N47" i="11"/>
  <c r="N17" i="11"/>
  <c r="N33" i="11"/>
  <c r="N48" i="11"/>
  <c r="N40" i="11"/>
  <c r="N10" i="11"/>
  <c r="N26" i="11"/>
  <c r="N42" i="11"/>
  <c r="N57" i="11"/>
  <c r="N60" i="11"/>
  <c r="N88" i="11"/>
  <c r="N84" i="11"/>
  <c r="N85" i="11"/>
  <c r="N95" i="11"/>
  <c r="N79" i="11"/>
  <c r="N63" i="11"/>
  <c r="N86" i="11"/>
  <c r="N70" i="11"/>
  <c r="N12" i="11"/>
  <c r="N15" i="11"/>
  <c r="N31" i="11"/>
  <c r="N35" i="11"/>
  <c r="N32" i="11"/>
  <c r="N55" i="11"/>
  <c r="N21" i="11"/>
  <c r="N37" i="11"/>
  <c r="N52" i="11"/>
  <c r="N51" i="11"/>
  <c r="N14" i="11"/>
  <c r="N30" i="11"/>
  <c r="N45" i="11"/>
  <c r="N92" i="11"/>
  <c r="N96" i="11"/>
  <c r="N80" i="11"/>
  <c r="N89" i="11"/>
  <c r="N27" i="11"/>
  <c r="N9" i="11"/>
  <c r="N41" i="11"/>
  <c r="N5" i="11"/>
  <c r="N34" i="11"/>
  <c r="N76" i="11"/>
  <c r="N72" i="11"/>
  <c r="N77" i="11"/>
  <c r="N87" i="11"/>
  <c r="N67" i="11"/>
  <c r="N82" i="11"/>
  <c r="N62" i="11"/>
  <c r="N46" i="11"/>
  <c r="N13" i="11"/>
  <c r="N44" i="11"/>
  <c r="N6" i="11"/>
  <c r="N38" i="11"/>
  <c r="N68" i="11"/>
  <c r="N64" i="11"/>
  <c r="N69" i="11"/>
  <c r="N83" i="11"/>
  <c r="N59" i="11"/>
  <c r="N78" i="11"/>
  <c r="N58" i="11"/>
  <c r="N36" i="11"/>
  <c r="N28" i="11"/>
  <c r="N53" i="11"/>
  <c r="N93" i="11"/>
  <c r="N71" i="11"/>
  <c r="N66" i="11"/>
  <c r="N50" i="11"/>
  <c r="N25" i="11"/>
  <c r="N16" i="11"/>
  <c r="N18" i="11"/>
  <c r="N49" i="11"/>
  <c r="N81" i="11"/>
  <c r="N65" i="11"/>
  <c r="N61" i="11"/>
  <c r="N75" i="11"/>
  <c r="N94" i="11"/>
  <c r="N74" i="11"/>
  <c r="N23" i="11"/>
  <c r="N29" i="11"/>
  <c r="N22" i="11"/>
  <c r="N73" i="11"/>
  <c r="N91" i="11"/>
  <c r="N90" i="11"/>
  <c r="H27" i="11"/>
  <c r="H74" i="11"/>
  <c r="Q70" i="11"/>
  <c r="Q49" i="11"/>
  <c r="Q54" i="11"/>
  <c r="Q82" i="11"/>
  <c r="Q74" i="11"/>
  <c r="L36" i="11"/>
  <c r="L21" i="11"/>
  <c r="H65" i="11"/>
  <c r="Q84" i="11"/>
  <c r="Q53" i="11"/>
  <c r="L53" i="11"/>
  <c r="I96" i="11"/>
  <c r="I94" i="11"/>
  <c r="I82" i="11"/>
  <c r="I68" i="11"/>
  <c r="I54" i="11"/>
  <c r="I39" i="11"/>
  <c r="I23" i="11"/>
  <c r="I95" i="11"/>
  <c r="I87" i="11"/>
  <c r="I79" i="11"/>
  <c r="I71" i="11"/>
  <c r="I63" i="11"/>
  <c r="I55" i="11"/>
  <c r="I47" i="11"/>
  <c r="I40" i="11"/>
  <c r="I32" i="11"/>
  <c r="I24" i="11"/>
  <c r="I16" i="11"/>
  <c r="I8" i="11"/>
  <c r="I74" i="11"/>
  <c r="I86" i="11"/>
  <c r="I84" i="11"/>
  <c r="I58" i="11"/>
  <c r="I35" i="11"/>
  <c r="I15" i="11"/>
  <c r="I89" i="11"/>
  <c r="I77" i="11"/>
  <c r="I67" i="11"/>
  <c r="I57" i="11"/>
  <c r="I45" i="11"/>
  <c r="I36" i="11"/>
  <c r="I26" i="11"/>
  <c r="I14" i="11"/>
  <c r="I64" i="11"/>
  <c r="I44" i="11"/>
  <c r="I29" i="11"/>
  <c r="I13" i="11"/>
  <c r="I59" i="11"/>
  <c r="I88" i="11"/>
  <c r="I78" i="11"/>
  <c r="I76" i="11"/>
  <c r="I50" i="11"/>
  <c r="I31" i="11"/>
  <c r="I7" i="11"/>
  <c r="I85" i="11"/>
  <c r="I75" i="11"/>
  <c r="I65" i="11"/>
  <c r="I53" i="11"/>
  <c r="I34" i="11"/>
  <c r="I22" i="11"/>
  <c r="I12" i="11"/>
  <c r="I60" i="11"/>
  <c r="K60" i="11" s="1"/>
  <c r="I41" i="11"/>
  <c r="I25" i="11"/>
  <c r="I9" i="11"/>
  <c r="I72" i="11"/>
  <c r="I43" i="11"/>
  <c r="I91" i="11"/>
  <c r="I69" i="11"/>
  <c r="I38" i="11"/>
  <c r="I28" i="11"/>
  <c r="I6" i="11"/>
  <c r="I48" i="11"/>
  <c r="I17" i="11"/>
  <c r="I5" i="11"/>
  <c r="M5" i="11" s="1"/>
  <c r="I80" i="11"/>
  <c r="I70" i="11"/>
  <c r="I66" i="11"/>
  <c r="I46" i="11"/>
  <c r="I27" i="11"/>
  <c r="I93" i="11"/>
  <c r="I83" i="11"/>
  <c r="I73" i="11"/>
  <c r="I61" i="11"/>
  <c r="I51" i="11"/>
  <c r="I42" i="11"/>
  <c r="I30" i="11"/>
  <c r="I20" i="11"/>
  <c r="I10" i="11"/>
  <c r="I52" i="11"/>
  <c r="I37" i="11"/>
  <c r="I21" i="11"/>
  <c r="I90" i="11"/>
  <c r="I92" i="11"/>
  <c r="I62" i="11"/>
  <c r="I19" i="11"/>
  <c r="I81" i="11"/>
  <c r="I49" i="11"/>
  <c r="I18" i="11"/>
  <c r="I33" i="11"/>
  <c r="H93" i="11"/>
  <c r="Q63" i="11"/>
  <c r="L84" i="11"/>
  <c r="Q25" i="11"/>
  <c r="Q48" i="11"/>
  <c r="L30" i="11"/>
  <c r="L34" i="11"/>
  <c r="Q55" i="11"/>
  <c r="Q14" i="11"/>
  <c r="L49" i="11"/>
  <c r="L24" i="11"/>
  <c r="L17" i="11"/>
  <c r="L46" i="11"/>
  <c r="H9" i="11"/>
  <c r="Q85" i="11"/>
  <c r="Q71" i="11"/>
  <c r="H21" i="11"/>
  <c r="L19" i="11"/>
  <c r="Q9" i="11"/>
  <c r="L5" i="11"/>
  <c r="L88" i="11"/>
  <c r="L86" i="11"/>
  <c r="L37" i="11"/>
  <c r="Q79" i="11"/>
  <c r="O11" i="11"/>
  <c r="O56" i="11"/>
  <c r="L68" i="11"/>
  <c r="L57" i="11"/>
  <c r="L26" i="11"/>
  <c r="L70" i="11"/>
  <c r="H53" i="11"/>
  <c r="I11" i="11"/>
  <c r="I56" i="11"/>
  <c r="N11" i="11"/>
  <c r="N56" i="11"/>
  <c r="T11" i="11"/>
  <c r="T56" i="11"/>
  <c r="J11" i="11"/>
  <c r="J56" i="11"/>
  <c r="L56" i="11"/>
  <c r="H11" i="11"/>
  <c r="H56" i="11"/>
  <c r="Q56" i="11"/>
  <c r="L42" i="11"/>
  <c r="Q11" i="11"/>
  <c r="Q5" i="11"/>
  <c r="L93" i="11"/>
  <c r="L11" i="11"/>
  <c r="L77" i="11"/>
  <c r="S11" i="11"/>
  <c r="S56" i="11"/>
  <c r="M11" i="11"/>
  <c r="M56" i="11"/>
  <c r="R11" i="11"/>
  <c r="R56" i="11"/>
  <c r="P86" i="11" l="1"/>
  <c r="K30" i="11"/>
  <c r="S117" i="11"/>
  <c r="Z99" i="11" s="1"/>
  <c r="M117" i="11"/>
  <c r="H117" i="11"/>
  <c r="Z91" i="11" s="1"/>
  <c r="Q117" i="11"/>
  <c r="I117" i="11"/>
  <c r="Z93" i="11" s="1"/>
  <c r="N117" i="11"/>
  <c r="Z97" i="11" s="1"/>
  <c r="L117" i="11"/>
  <c r="Z94" i="11" s="1"/>
  <c r="R117" i="11"/>
  <c r="J117" i="11"/>
  <c r="O117" i="11"/>
  <c r="Z95" i="11" s="1"/>
  <c r="T117" i="11"/>
  <c r="Z101" i="11" s="1"/>
  <c r="P84" i="11"/>
  <c r="K37" i="11"/>
  <c r="K41" i="11"/>
  <c r="K64" i="11"/>
  <c r="K16" i="11"/>
  <c r="K94" i="11"/>
  <c r="P90" i="11"/>
  <c r="P60" i="11"/>
  <c r="U14" i="11"/>
  <c r="U48" i="11"/>
  <c r="K24" i="11"/>
  <c r="P42" i="11"/>
  <c r="U71" i="11"/>
  <c r="K93" i="11"/>
  <c r="K67" i="11"/>
  <c r="P21" i="11"/>
  <c r="U82" i="11"/>
  <c r="P93" i="11"/>
  <c r="K53" i="11"/>
  <c r="P68" i="11"/>
  <c r="P24" i="11"/>
  <c r="P34" i="11"/>
  <c r="K27" i="11"/>
  <c r="K25" i="11"/>
  <c r="K58" i="11"/>
  <c r="K40" i="11"/>
  <c r="U54" i="11"/>
  <c r="P12" i="11"/>
  <c r="U96" i="11"/>
  <c r="P38" i="11"/>
  <c r="P40" i="11"/>
  <c r="U68" i="11"/>
  <c r="U15" i="11"/>
  <c r="K9" i="11"/>
  <c r="U42" i="11"/>
  <c r="P55" i="11"/>
  <c r="U6" i="11"/>
  <c r="U77" i="11"/>
  <c r="K90" i="11"/>
  <c r="P26" i="11"/>
  <c r="U70" i="11"/>
  <c r="K68" i="11"/>
  <c r="K28" i="11"/>
  <c r="P70" i="11"/>
  <c r="P8" i="11"/>
  <c r="U30" i="11"/>
  <c r="U88" i="11"/>
  <c r="U76" i="11"/>
  <c r="U22" i="11"/>
  <c r="U7" i="11"/>
  <c r="U55" i="11"/>
  <c r="U39" i="11"/>
  <c r="P9" i="11"/>
  <c r="P73" i="11"/>
  <c r="P88" i="11"/>
  <c r="P19" i="11"/>
  <c r="P22" i="11"/>
  <c r="P79" i="11"/>
  <c r="P48" i="11"/>
  <c r="P36" i="11"/>
  <c r="P45" i="11"/>
  <c r="U61" i="11"/>
  <c r="U9" i="11"/>
  <c r="U90" i="11"/>
  <c r="U33" i="11"/>
  <c r="U84" i="11"/>
  <c r="U34" i="11"/>
  <c r="U12" i="11"/>
  <c r="U74" i="11"/>
  <c r="U45" i="11"/>
  <c r="P58" i="11"/>
  <c r="U16" i="11"/>
  <c r="P77" i="11"/>
  <c r="P49" i="11"/>
  <c r="P5" i="11"/>
  <c r="P17" i="11"/>
  <c r="K92" i="11"/>
  <c r="K17" i="11"/>
  <c r="K38" i="11"/>
  <c r="K76" i="11"/>
  <c r="K57" i="11"/>
  <c r="K87" i="11"/>
  <c r="P13" i="11"/>
  <c r="P96" i="11"/>
  <c r="U19" i="11"/>
  <c r="U62" i="11"/>
  <c r="P71" i="11"/>
  <c r="U29" i="11"/>
  <c r="K45" i="11"/>
  <c r="K84" i="11"/>
  <c r="P46" i="11"/>
  <c r="K73" i="11"/>
  <c r="K59" i="11"/>
  <c r="P44" i="11"/>
  <c r="P56" i="11"/>
  <c r="U85" i="11"/>
  <c r="K81" i="11"/>
  <c r="K10" i="11"/>
  <c r="K70" i="11"/>
  <c r="K69" i="11"/>
  <c r="K35" i="11"/>
  <c r="K95" i="11"/>
  <c r="P53" i="11"/>
  <c r="P63" i="11"/>
  <c r="P33" i="11"/>
  <c r="U21" i="11"/>
  <c r="P18" i="11"/>
  <c r="P37" i="11"/>
  <c r="U44" i="11"/>
  <c r="U92" i="11"/>
  <c r="K56" i="11"/>
  <c r="K33" i="11"/>
  <c r="K21" i="11"/>
  <c r="K20" i="11"/>
  <c r="K65" i="11"/>
  <c r="K44" i="11"/>
  <c r="K36" i="11"/>
  <c r="K77" i="11"/>
  <c r="K71" i="11"/>
  <c r="K74" i="11"/>
  <c r="P54" i="11"/>
  <c r="U49" i="11"/>
  <c r="Z96" i="11"/>
  <c r="P51" i="11"/>
  <c r="P74" i="11"/>
  <c r="P16" i="11"/>
  <c r="P65" i="11"/>
  <c r="P27" i="11"/>
  <c r="P30" i="11"/>
  <c r="P32" i="11"/>
  <c r="U93" i="11"/>
  <c r="U79" i="11"/>
  <c r="U53" i="11"/>
  <c r="U36" i="11"/>
  <c r="K89" i="11"/>
  <c r="U50" i="11"/>
  <c r="U57" i="11"/>
  <c r="U32" i="11"/>
  <c r="U67" i="11"/>
  <c r="K26" i="11"/>
  <c r="U63" i="11"/>
  <c r="K50" i="11"/>
  <c r="K39" i="11"/>
  <c r="P39" i="11"/>
  <c r="P91" i="11"/>
  <c r="P47" i="11"/>
  <c r="U69" i="11"/>
  <c r="U27" i="11"/>
  <c r="U8" i="11"/>
  <c r="U95" i="11"/>
  <c r="U52" i="11"/>
  <c r="U72" i="11"/>
  <c r="U89" i="11"/>
  <c r="P62" i="11"/>
  <c r="P87" i="11"/>
  <c r="P31" i="11"/>
  <c r="U91" i="11"/>
  <c r="P57" i="11"/>
  <c r="U5" i="11"/>
  <c r="Z92" i="11"/>
  <c r="K18" i="11"/>
  <c r="K46" i="11"/>
  <c r="K75" i="11"/>
  <c r="U56" i="11"/>
  <c r="Z98" i="11"/>
  <c r="U25" i="11"/>
  <c r="K52" i="11"/>
  <c r="K72" i="11"/>
  <c r="K15" i="11"/>
  <c r="K8" i="11"/>
  <c r="K5" i="11"/>
  <c r="P6" i="11"/>
  <c r="P20" i="11"/>
  <c r="K29" i="11"/>
  <c r="P64" i="11"/>
  <c r="U78" i="11"/>
  <c r="P23" i="11"/>
  <c r="P80" i="11"/>
  <c r="U64" i="11"/>
  <c r="U94" i="11"/>
  <c r="U66" i="11"/>
  <c r="P25" i="11"/>
  <c r="U18" i="11"/>
  <c r="K47" i="11"/>
  <c r="U51" i="11"/>
  <c r="K6" i="11"/>
  <c r="K55" i="11"/>
  <c r="K22" i="11"/>
  <c r="K13" i="11"/>
  <c r="U11" i="11"/>
  <c r="U37" i="11"/>
  <c r="U86" i="11"/>
  <c r="P82" i="11"/>
  <c r="P75" i="11"/>
  <c r="P41" i="11"/>
  <c r="P76" i="11"/>
  <c r="P67" i="11"/>
  <c r="P14" i="11"/>
  <c r="U35" i="11"/>
  <c r="U38" i="11"/>
  <c r="U31" i="11"/>
  <c r="P59" i="11"/>
  <c r="P66" i="11"/>
  <c r="U10" i="11"/>
  <c r="U80" i="11"/>
  <c r="P78" i="11"/>
  <c r="U65" i="11"/>
  <c r="P52" i="11"/>
  <c r="U81" i="11"/>
  <c r="P10" i="11"/>
  <c r="P61" i="11"/>
  <c r="K19" i="11"/>
  <c r="P95" i="11"/>
  <c r="P11" i="11"/>
  <c r="P29" i="11"/>
  <c r="P81" i="11"/>
  <c r="P69" i="11"/>
  <c r="U58" i="11"/>
  <c r="U28" i="11"/>
  <c r="U75" i="11"/>
  <c r="Z100" i="11"/>
  <c r="K11" i="11"/>
  <c r="P72" i="11"/>
  <c r="P28" i="11"/>
  <c r="P15" i="11"/>
  <c r="P83" i="11"/>
  <c r="P85" i="11"/>
  <c r="U24" i="11"/>
  <c r="U73" i="11"/>
  <c r="U41" i="11"/>
  <c r="U60" i="11"/>
  <c r="P94" i="11"/>
  <c r="U83" i="11"/>
  <c r="K23" i="11"/>
  <c r="U17" i="11"/>
  <c r="K42" i="11"/>
  <c r="U20" i="11"/>
  <c r="P50" i="11"/>
  <c r="K43" i="11"/>
  <c r="U23" i="11"/>
  <c r="K14" i="11"/>
  <c r="K12" i="11"/>
  <c r="P43" i="11"/>
  <c r="K63" i="11"/>
  <c r="U43" i="11"/>
  <c r="P92" i="11"/>
  <c r="K32" i="11"/>
  <c r="K48" i="11"/>
  <c r="K91" i="11"/>
  <c r="K34" i="11"/>
  <c r="K7" i="11"/>
  <c r="U46" i="11"/>
  <c r="K49" i="11"/>
  <c r="U13" i="11"/>
  <c r="K80" i="11"/>
  <c r="K86" i="11"/>
  <c r="U87" i="11"/>
  <c r="K85" i="11"/>
  <c r="K54" i="11"/>
  <c r="K79" i="11"/>
  <c r="K78" i="11"/>
  <c r="P89" i="11"/>
  <c r="U26" i="11"/>
  <c r="U59" i="11"/>
  <c r="P35" i="11"/>
  <c r="K31" i="11"/>
  <c r="K62" i="11"/>
  <c r="K83" i="11"/>
  <c r="K51" i="11"/>
  <c r="K82" i="11"/>
  <c r="P7" i="11"/>
  <c r="K88" i="11"/>
  <c r="K66" i="11"/>
  <c r="U47" i="11"/>
  <c r="U40" i="11"/>
  <c r="K96" i="11"/>
  <c r="K61" i="11"/>
  <c r="K117" i="11" l="1"/>
  <c r="P117" i="11"/>
  <c r="U117" i="11"/>
  <c r="AB91" i="11" l="1"/>
  <c r="AB98" i="11"/>
  <c r="AB94" i="11"/>
</calcChain>
</file>

<file path=xl/sharedStrings.xml><?xml version="1.0" encoding="utf-8"?>
<sst xmlns="http://schemas.openxmlformats.org/spreadsheetml/2006/main" count="165" uniqueCount="153">
  <si>
    <t>姓名</t>
  </si>
  <si>
    <t>平均分</t>
  </si>
  <si>
    <t>课堂表现</t>
  </si>
  <si>
    <t>上机实践</t>
  </si>
  <si>
    <t>课后作业</t>
  </si>
  <si>
    <t>教学目标1</t>
  </si>
  <si>
    <t>教学目标2</t>
  </si>
  <si>
    <t>教学目标3</t>
  </si>
  <si>
    <t>序号</t>
  </si>
  <si>
    <t>课后作业20%</t>
  </si>
  <si>
    <t>上机实践30%</t>
  </si>
  <si>
    <t>期末考试40%</t>
  </si>
  <si>
    <t>总分
(100)</t>
  </si>
  <si>
    <t>课堂表现0.04</t>
  </si>
  <si>
    <t>课后作业0.1</t>
  </si>
  <si>
    <t>期末考试0.12</t>
  </si>
  <si>
    <t>目标1达成度</t>
  </si>
  <si>
    <t>课堂表现0.03</t>
  </si>
  <si>
    <t>课后作业0.05</t>
  </si>
  <si>
    <t>期末考试0.16</t>
  </si>
  <si>
    <t>目标2达成度</t>
  </si>
  <si>
    <t>实践上机0.25</t>
  </si>
  <si>
    <t>目标3达成度</t>
  </si>
  <si>
    <t>各项分值</t>
  </si>
  <si>
    <t>班级平均达成度</t>
  </si>
  <si>
    <t>课程目标1</t>
  </si>
  <si>
    <t>课程目标2</t>
  </si>
  <si>
    <t>课程目标3</t>
  </si>
  <si>
    <t>课程目标</t>
  </si>
  <si>
    <t>评价内容</t>
  </si>
  <si>
    <t>目标分值</t>
  </si>
  <si>
    <t>平均得分</t>
  </si>
  <si>
    <t>权重系数</t>
  </si>
  <si>
    <t>课程目标达成情况</t>
  </si>
  <si>
    <t>期末考试</t>
  </si>
  <si>
    <t>课堂表现10%</t>
    <phoneticPr fontId="23" type="noConversion"/>
  </si>
  <si>
    <t>郭雨晴</t>
  </si>
  <si>
    <t>于潇然</t>
  </si>
  <si>
    <t>薛雯雅</t>
  </si>
  <si>
    <t>2024秋《程序设计基础》课程达成度计算</t>
    <phoneticPr fontId="23" type="noConversion"/>
  </si>
  <si>
    <t>郭雨晴</t>
    <phoneticPr fontId="23" type="noConversion"/>
  </si>
  <si>
    <t>徐文姌</t>
  </si>
  <si>
    <t>杨鑫竹</t>
  </si>
  <si>
    <t>闫鸣珊</t>
  </si>
  <si>
    <t>王思媛</t>
  </si>
  <si>
    <t>沙佑安</t>
  </si>
  <si>
    <t>崔诗睿</t>
  </si>
  <si>
    <t>朱梓毓</t>
  </si>
  <si>
    <t>王玉姗姗</t>
  </si>
  <si>
    <t>窦爽朗</t>
  </si>
  <si>
    <t>李鹤</t>
  </si>
  <si>
    <t>李欣蕾</t>
  </si>
  <si>
    <t>张骏菲</t>
  </si>
  <si>
    <t>刘子嘉</t>
  </si>
  <si>
    <t>杨心淇</t>
  </si>
  <si>
    <t>韩筱冉</t>
  </si>
  <si>
    <t>南阳</t>
  </si>
  <si>
    <t>王玥瑶</t>
  </si>
  <si>
    <t>杨雨菲</t>
  </si>
  <si>
    <t>李泽君</t>
  </si>
  <si>
    <t>安元惠</t>
  </si>
  <si>
    <t>田兆博</t>
  </si>
  <si>
    <t>张亦涵</t>
  </si>
  <si>
    <t>佟伯炀</t>
  </si>
  <si>
    <t>陈天悦</t>
  </si>
  <si>
    <t>孙可欣</t>
  </si>
  <si>
    <t>尹姝仝</t>
  </si>
  <si>
    <t>冯楚楠</t>
  </si>
  <si>
    <t>周慧宇</t>
  </si>
  <si>
    <t>黄灿翔</t>
  </si>
  <si>
    <t>赵欣然</t>
  </si>
  <si>
    <t>赵艺萌</t>
  </si>
  <si>
    <t>毛若冰</t>
  </si>
  <si>
    <t>魏宇萱</t>
  </si>
  <si>
    <t>王思彤</t>
  </si>
  <si>
    <t>张曾岩</t>
  </si>
  <si>
    <t>管礼蕾</t>
  </si>
  <si>
    <t>孟凌昔</t>
  </si>
  <si>
    <t>张事成</t>
  </si>
  <si>
    <t>王鑫琦</t>
  </si>
  <si>
    <t>张仪诺</t>
  </si>
  <si>
    <t>陈鑫怡</t>
  </si>
  <si>
    <t>张金玉</t>
  </si>
  <si>
    <t>董心怡</t>
  </si>
  <si>
    <t>柯润杰</t>
  </si>
  <si>
    <t>赫敬宜</t>
  </si>
  <si>
    <t>胡欣蕊</t>
  </si>
  <si>
    <t>李炳坤</t>
  </si>
  <si>
    <t>王露瑶</t>
  </si>
  <si>
    <t>彭心怡</t>
  </si>
  <si>
    <t>王子锋</t>
  </si>
  <si>
    <t>史泽澳</t>
  </si>
  <si>
    <t>李泽浩</t>
  </si>
  <si>
    <t>王静怡</t>
  </si>
  <si>
    <t>王雨琪</t>
  </si>
  <si>
    <t>刘奕含</t>
  </si>
  <si>
    <t>王雨晴</t>
  </si>
  <si>
    <t>巴文博</t>
  </si>
  <si>
    <t>梁鸣</t>
  </si>
  <si>
    <t>肖阳</t>
  </si>
  <si>
    <t>付昭怡</t>
  </si>
  <si>
    <t>张语迪</t>
  </si>
  <si>
    <t>朱靖雯</t>
  </si>
  <si>
    <t>王雨霏</t>
  </si>
  <si>
    <t>郑司琦</t>
  </si>
  <si>
    <t>王妃</t>
  </si>
  <si>
    <t>王子谏</t>
  </si>
  <si>
    <t>刘硕</t>
  </si>
  <si>
    <t>李佳仪</t>
  </si>
  <si>
    <t>夏旭然</t>
  </si>
  <si>
    <t>疏佳依</t>
  </si>
  <si>
    <t>张家庚</t>
  </si>
  <si>
    <t>谭景彬</t>
  </si>
  <si>
    <t>王雪菲</t>
  </si>
  <si>
    <t>夏珊</t>
  </si>
  <si>
    <t>陈博洋</t>
  </si>
  <si>
    <t>宋忻浓</t>
  </si>
  <si>
    <t>卓博雅</t>
  </si>
  <si>
    <t>杜安琪</t>
  </si>
  <si>
    <t>曹轶</t>
  </si>
  <si>
    <t>尤婉嘉</t>
  </si>
  <si>
    <t>周思思</t>
  </si>
  <si>
    <t>孙世佳</t>
  </si>
  <si>
    <t>张嵘淏</t>
  </si>
  <si>
    <t>胡昊天</t>
  </si>
  <si>
    <t>李兆博</t>
  </si>
  <si>
    <t>周自厚</t>
  </si>
  <si>
    <t>龚欣玥</t>
  </si>
  <si>
    <t>元莺静</t>
  </si>
  <si>
    <t>张睿桐</t>
  </si>
  <si>
    <t>郭瀑语</t>
  </si>
  <si>
    <t>张晨蕊</t>
  </si>
  <si>
    <t>杨淑婷</t>
  </si>
  <si>
    <t>张睿婷</t>
  </si>
  <si>
    <t>张百丽</t>
  </si>
  <si>
    <t>赵宇暄</t>
  </si>
  <si>
    <t>王姝颖</t>
  </si>
  <si>
    <t>李震宇</t>
  </si>
  <si>
    <t>王泳淇</t>
  </si>
  <si>
    <t>李嘉逸</t>
  </si>
  <si>
    <t>宋奕豪</t>
  </si>
  <si>
    <t>李云鹏</t>
  </si>
  <si>
    <t>王坤</t>
  </si>
  <si>
    <t>孙心雨</t>
  </si>
  <si>
    <t>杨天昊</t>
  </si>
  <si>
    <t>买佳怡</t>
  </si>
  <si>
    <t>赵雨彤</t>
  </si>
  <si>
    <t>张凌嘉</t>
  </si>
  <si>
    <t>王林清</t>
  </si>
  <si>
    <t>张逸鹤</t>
  </si>
  <si>
    <t>韩沛颖</t>
  </si>
  <si>
    <t>张雨婷</t>
  </si>
  <si>
    <t>实践上机0.05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</si>
</sst>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0.00_ "/>
    <numFmt numFmtId="178" formatCode="0_ "/>
    <numFmt numFmtId="179" formatCode="0.0_);\(0.0\)"/>
    <numFmt numFmtId="180" formatCode="0.0_);[Red]\(0.0\)"/>
  </numFmts>
  <fonts count="29" x14ac:knownFonts="1">
    <font>
      <sz val="10"/>
      <name val="Arial"/>
      <charset val="134"/>
    </font>
    <font>
      <sz val="10"/>
      <name val="Arial"/>
      <family val="2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sz val="11"/>
      <color rgb="FF9C0006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Arial"/>
      <family val="2"/>
    </font>
    <font>
      <sz val="10.5"/>
      <name val="等线"/>
      <family val="3"/>
      <charset val="134"/>
    </font>
    <font>
      <sz val="10"/>
      <color rgb="FFFF0000"/>
      <name val="宋体"/>
      <family val="3"/>
      <charset val="134"/>
      <scheme val="minor"/>
    </font>
    <font>
      <sz val="10"/>
      <color rgb="FFFF0000"/>
      <name val="Arial"/>
      <family val="2"/>
    </font>
    <font>
      <b/>
      <sz val="10"/>
      <color rgb="FFFF0000"/>
      <name val="宋体"/>
      <family val="3"/>
      <charset val="134"/>
      <scheme val="minor"/>
    </font>
    <font>
      <sz val="10"/>
      <color rgb="FFFF0000"/>
      <name val="微软雅黑"/>
      <family val="2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450666829432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44">
    <xf numFmtId="0" fontId="0" fillId="0" borderId="0"/>
    <xf numFmtId="0" fontId="5" fillId="12" borderId="0" applyNumberFormat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5" fillId="0" borderId="0"/>
    <xf numFmtId="0" fontId="15" fillId="8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4" borderId="4" applyNumberFormat="0" applyFont="0" applyAlignment="0" applyProtection="0">
      <alignment vertical="center"/>
    </xf>
  </cellStyleXfs>
  <cellXfs count="54">
    <xf numFmtId="0" fontId="0" fillId="0" borderId="0" xfId="0"/>
    <xf numFmtId="0" fontId="2" fillId="0" borderId="0" xfId="12" applyFont="1">
      <alignment vertical="center"/>
    </xf>
    <xf numFmtId="0" fontId="3" fillId="0" borderId="0" xfId="12" applyFont="1" applyAlignment="1">
      <alignment horizontal="center" vertical="center"/>
    </xf>
    <xf numFmtId="0" fontId="3" fillId="0" borderId="0" xfId="12" applyFont="1">
      <alignment vertical="center"/>
    </xf>
    <xf numFmtId="178" fontId="3" fillId="0" borderId="0" xfId="12" applyNumberFormat="1" applyFont="1">
      <alignment vertical="center"/>
    </xf>
    <xf numFmtId="0" fontId="2" fillId="0" borderId="1" xfId="12" applyFont="1" applyBorder="1" applyAlignment="1">
      <alignment horizontal="center" vertical="center"/>
    </xf>
    <xf numFmtId="0" fontId="2" fillId="0" borderId="1" xfId="12" applyFont="1" applyBorder="1">
      <alignment vertical="center"/>
    </xf>
    <xf numFmtId="178" fontId="2" fillId="0" borderId="1" xfId="12" applyNumberFormat="1" applyFont="1" applyBorder="1">
      <alignment vertical="center"/>
    </xf>
    <xf numFmtId="178" fontId="2" fillId="0" borderId="1" xfId="12" applyNumberFormat="1" applyFont="1" applyBorder="1" applyAlignment="1">
      <alignment horizontal="center" vertical="center" wrapText="1"/>
    </xf>
    <xf numFmtId="0" fontId="2" fillId="0" borderId="1" xfId="12" applyFont="1" applyBorder="1" applyAlignment="1">
      <alignment horizontal="center" vertical="center" wrapText="1"/>
    </xf>
    <xf numFmtId="176" fontId="2" fillId="0" borderId="1" xfId="12" applyNumberFormat="1" applyFont="1" applyBorder="1" applyAlignment="1">
      <alignment horizontal="center" vertical="center" wrapText="1"/>
    </xf>
    <xf numFmtId="176" fontId="3" fillId="0" borderId="1" xfId="12" applyNumberFormat="1" applyFont="1" applyBorder="1" applyAlignment="1">
      <alignment horizontal="center" vertical="center" wrapText="1"/>
    </xf>
    <xf numFmtId="0" fontId="3" fillId="0" borderId="1" xfId="12" applyFont="1" applyBorder="1" applyAlignment="1">
      <alignment horizontal="center" vertical="center"/>
    </xf>
    <xf numFmtId="179" fontId="2" fillId="0" borderId="1" xfId="12" applyNumberFormat="1" applyFont="1" applyBorder="1">
      <alignment vertical="center"/>
    </xf>
    <xf numFmtId="180" fontId="2" fillId="0" borderId="1" xfId="12" applyNumberFormat="1" applyFont="1" applyBorder="1">
      <alignment vertical="center"/>
    </xf>
    <xf numFmtId="178" fontId="2" fillId="0" borderId="1" xfId="12" applyNumberFormat="1" applyFont="1" applyBorder="1" applyAlignment="1">
      <alignment horizontal="center" vertical="center"/>
    </xf>
    <xf numFmtId="176" fontId="3" fillId="0" borderId="0" xfId="12" applyNumberFormat="1" applyFont="1">
      <alignment vertical="center"/>
    </xf>
    <xf numFmtId="0" fontId="2" fillId="3" borderId="1" xfId="12" applyFont="1" applyFill="1" applyBorder="1" applyAlignment="1">
      <alignment horizontal="center" vertical="center" wrapText="1"/>
    </xf>
    <xf numFmtId="176" fontId="2" fillId="3" borderId="1" xfId="12" applyNumberFormat="1" applyFont="1" applyFill="1" applyBorder="1" applyAlignment="1">
      <alignment horizontal="center" vertical="center" wrapText="1"/>
    </xf>
    <xf numFmtId="176" fontId="3" fillId="3" borderId="1" xfId="12" applyNumberFormat="1" applyFont="1" applyFill="1" applyBorder="1" applyAlignment="1">
      <alignment horizontal="center" vertical="center" wrapText="1"/>
    </xf>
    <xf numFmtId="0" fontId="2" fillId="0" borderId="1" xfId="12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4" fillId="0" borderId="13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 wrapText="1"/>
    </xf>
    <xf numFmtId="9" fontId="24" fillId="0" borderId="17" xfId="0" applyNumberFormat="1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9" fontId="24" fillId="0" borderId="19" xfId="0" applyNumberFormat="1" applyFont="1" applyBorder="1" applyAlignment="1">
      <alignment horizontal="center" vertical="center" wrapText="1"/>
    </xf>
    <xf numFmtId="176" fontId="24" fillId="0" borderId="17" xfId="0" applyNumberFormat="1" applyFont="1" applyBorder="1" applyAlignment="1">
      <alignment horizontal="center" vertical="center" wrapText="1"/>
    </xf>
    <xf numFmtId="176" fontId="24" fillId="0" borderId="19" xfId="0" applyNumberFormat="1" applyFont="1" applyBorder="1" applyAlignment="1">
      <alignment horizontal="center" vertical="center" wrapText="1"/>
    </xf>
    <xf numFmtId="0" fontId="2" fillId="0" borderId="1" xfId="12" applyFont="1" applyBorder="1" applyAlignment="1">
      <alignment horizontal="center" vertical="center"/>
    </xf>
    <xf numFmtId="0" fontId="25" fillId="0" borderId="1" xfId="12" applyFont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179" fontId="27" fillId="0" borderId="1" xfId="12" applyNumberFormat="1" applyFont="1" applyBorder="1">
      <alignment vertical="center"/>
    </xf>
    <xf numFmtId="180" fontId="27" fillId="0" borderId="1" xfId="12" applyNumberFormat="1" applyFont="1" applyBorder="1">
      <alignment vertical="center"/>
    </xf>
    <xf numFmtId="178" fontId="27" fillId="0" borderId="1" xfId="12" applyNumberFormat="1" applyFont="1" applyBorder="1" applyAlignment="1">
      <alignment horizontal="center" vertical="center"/>
    </xf>
    <xf numFmtId="176" fontId="25" fillId="0" borderId="1" xfId="12" applyNumberFormat="1" applyFont="1" applyBorder="1" applyAlignment="1">
      <alignment horizontal="center" vertical="center" wrapText="1"/>
    </xf>
    <xf numFmtId="176" fontId="25" fillId="3" borderId="1" xfId="12" applyNumberFormat="1" applyFont="1" applyFill="1" applyBorder="1" applyAlignment="1">
      <alignment horizontal="center" vertical="center" wrapText="1"/>
    </xf>
    <xf numFmtId="0" fontId="25" fillId="0" borderId="0" xfId="12" applyFont="1">
      <alignment vertical="center"/>
    </xf>
    <xf numFmtId="0" fontId="28" fillId="0" borderId="1" xfId="0" applyFont="1" applyFill="1" applyBorder="1" applyAlignment="1">
      <alignment horizontal="center" vertical="center"/>
    </xf>
    <xf numFmtId="2" fontId="3" fillId="0" borderId="0" xfId="12" applyNumberFormat="1" applyFont="1">
      <alignment vertical="center"/>
    </xf>
    <xf numFmtId="0" fontId="4" fillId="0" borderId="2" xfId="12" applyFont="1" applyBorder="1" applyAlignment="1">
      <alignment horizontal="center" vertical="center"/>
    </xf>
    <xf numFmtId="0" fontId="4" fillId="0" borderId="3" xfId="12" applyFont="1" applyBorder="1" applyAlignment="1">
      <alignment horizontal="center" vertical="center"/>
    </xf>
    <xf numFmtId="0" fontId="2" fillId="0" borderId="1" xfId="12" applyFont="1" applyBorder="1" applyAlignment="1">
      <alignment horizontal="center" vertical="center"/>
    </xf>
    <xf numFmtId="0" fontId="2" fillId="2" borderId="1" xfId="12" applyFont="1" applyFill="1" applyBorder="1" applyAlignment="1">
      <alignment horizontal="center" vertical="center"/>
    </xf>
    <xf numFmtId="0" fontId="24" fillId="0" borderId="20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10" fontId="24" fillId="0" borderId="20" xfId="0" applyNumberFormat="1" applyFont="1" applyBorder="1" applyAlignment="1">
      <alignment horizontal="center" vertical="center"/>
    </xf>
    <xf numFmtId="10" fontId="24" fillId="0" borderId="16" xfId="0" applyNumberFormat="1" applyFont="1" applyBorder="1" applyAlignment="1">
      <alignment horizontal="center" vertical="center"/>
    </xf>
    <xf numFmtId="10" fontId="24" fillId="0" borderId="15" xfId="0" applyNumberFormat="1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 wrapText="1"/>
    </xf>
    <xf numFmtId="10" fontId="24" fillId="0" borderId="18" xfId="0" applyNumberFormat="1" applyFont="1" applyBorder="1" applyAlignment="1">
      <alignment horizontal="center" vertical="center"/>
    </xf>
  </cellXfs>
  <cellStyles count="44">
    <cellStyle name="20% - 强调文字颜色 1 2" xfId="1" xr:uid="{00000000-0005-0000-0000-000031000000}"/>
    <cellStyle name="20% - 强调文字颜色 2 2" xfId="10" xr:uid="{00000000-0005-0000-0000-00003A000000}"/>
    <cellStyle name="20% - 强调文字颜色 3 2" xfId="11" xr:uid="{00000000-0005-0000-0000-00003B000000}"/>
    <cellStyle name="20% - 强调文字颜色 4 2" xfId="13" xr:uid="{00000000-0005-0000-0000-00003D000000}"/>
    <cellStyle name="20% - 强调文字颜色 5 2" xfId="14" xr:uid="{00000000-0005-0000-0000-00003E000000}"/>
    <cellStyle name="20% - 强调文字颜色 6 2" xfId="15" xr:uid="{00000000-0005-0000-0000-00003F000000}"/>
    <cellStyle name="40% - 强调文字颜色 1 2" xfId="4" xr:uid="{00000000-0005-0000-0000-000034000000}"/>
    <cellStyle name="40% - 强调文字颜色 2 2" xfId="5" xr:uid="{00000000-0005-0000-0000-000035000000}"/>
    <cellStyle name="40% - 强调文字颜色 3 2" xfId="16" xr:uid="{00000000-0005-0000-0000-000040000000}"/>
    <cellStyle name="40% - 强调文字颜色 4 2" xfId="3" xr:uid="{00000000-0005-0000-0000-000033000000}"/>
    <cellStyle name="40% - 强调文字颜色 5 2" xfId="6" xr:uid="{00000000-0005-0000-0000-000036000000}"/>
    <cellStyle name="40% - 强调文字颜色 6 2" xfId="9" xr:uid="{00000000-0005-0000-0000-000039000000}"/>
    <cellStyle name="60% - 强调文字颜色 1 2" xfId="17" xr:uid="{00000000-0005-0000-0000-000041000000}"/>
    <cellStyle name="60% - 强调文字颜色 2 2" xfId="18" xr:uid="{00000000-0005-0000-0000-000042000000}"/>
    <cellStyle name="60% - 强调文字颜色 3 2" xfId="19" xr:uid="{00000000-0005-0000-0000-000043000000}"/>
    <cellStyle name="60% - 强调文字颜色 4 2" xfId="20" xr:uid="{00000000-0005-0000-0000-000044000000}"/>
    <cellStyle name="60% - 强调文字颜色 5 2" xfId="21" xr:uid="{00000000-0005-0000-0000-000045000000}"/>
    <cellStyle name="60% - 强调文字颜色 6 2" xfId="22" xr:uid="{00000000-0005-0000-0000-000046000000}"/>
    <cellStyle name="标题 1 2" xfId="23" xr:uid="{00000000-0005-0000-0000-000047000000}"/>
    <cellStyle name="标题 2 2" xfId="24" xr:uid="{00000000-0005-0000-0000-000048000000}"/>
    <cellStyle name="标题 3 2" xfId="25" xr:uid="{00000000-0005-0000-0000-000049000000}"/>
    <cellStyle name="标题 4 2" xfId="26" xr:uid="{00000000-0005-0000-0000-00004A000000}"/>
    <cellStyle name="标题 5" xfId="27" xr:uid="{00000000-0005-0000-0000-00004B000000}"/>
    <cellStyle name="差 2" xfId="28" xr:uid="{00000000-0005-0000-0000-00004C000000}"/>
    <cellStyle name="常规" xfId="0" builtinId="0"/>
    <cellStyle name="常规 2" xfId="29" xr:uid="{00000000-0005-0000-0000-00004D000000}"/>
    <cellStyle name="常规 3" xfId="12" xr:uid="{00000000-0005-0000-0000-00003C000000}"/>
    <cellStyle name="好 2" xfId="30" xr:uid="{00000000-0005-0000-0000-00004E000000}"/>
    <cellStyle name="汇总 2" xfId="31" xr:uid="{00000000-0005-0000-0000-00004F000000}"/>
    <cellStyle name="计算 2" xfId="2" xr:uid="{00000000-0005-0000-0000-000032000000}"/>
    <cellStyle name="检查单元格 2" xfId="32" xr:uid="{00000000-0005-0000-0000-000050000000}"/>
    <cellStyle name="解释性文本 2" xfId="33" xr:uid="{00000000-0005-0000-0000-000051000000}"/>
    <cellStyle name="警告文本 2" xfId="34" xr:uid="{00000000-0005-0000-0000-000052000000}"/>
    <cellStyle name="链接单元格 2" xfId="35" xr:uid="{00000000-0005-0000-0000-000053000000}"/>
    <cellStyle name="强调文字颜色 1 2" xfId="36" xr:uid="{00000000-0005-0000-0000-000054000000}"/>
    <cellStyle name="强调文字颜色 2 2" xfId="37" xr:uid="{00000000-0005-0000-0000-000055000000}"/>
    <cellStyle name="强调文字颜色 3 2" xfId="38" xr:uid="{00000000-0005-0000-0000-000056000000}"/>
    <cellStyle name="强调文字颜色 4 2" xfId="39" xr:uid="{00000000-0005-0000-0000-000057000000}"/>
    <cellStyle name="强调文字颜色 5 2" xfId="40" xr:uid="{00000000-0005-0000-0000-000058000000}"/>
    <cellStyle name="强调文字颜色 6 2" xfId="41" xr:uid="{00000000-0005-0000-0000-000059000000}"/>
    <cellStyle name="适中 2" xfId="8" xr:uid="{00000000-0005-0000-0000-000038000000}"/>
    <cellStyle name="输出 2" xfId="7" xr:uid="{00000000-0005-0000-0000-000037000000}"/>
    <cellStyle name="输入 2" xfId="42" xr:uid="{00000000-0005-0000-0000-00005A000000}"/>
    <cellStyle name="注释 2" xfId="43" xr:uid="{00000000-0005-0000-0000-00005B00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9" defaultPivotStyle="PivotStyleLight16">
    <tableStyle name="MySqlDefault" pivot="0" table="0" count="2" xr9:uid="{EE201CAC-40B8-47EA-83D4-0FBAFB10F615}">
      <tableStyleElement type="wholeTable" dxfId="1"/>
      <tableStyleElement type="headerRow" dxfId="0"/>
    </tableStyle>
  </tableStyles>
  <colors>
    <mruColors>
      <color rgb="FFFFFF00"/>
      <color rgb="FF450C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30"/>
  <sheetViews>
    <sheetView tabSelected="1" zoomScale="115" zoomScaleNormal="115" workbookViewId="0">
      <selection activeCell="I6" sqref="I6"/>
    </sheetView>
  </sheetViews>
  <sheetFormatPr defaultColWidth="9" defaultRowHeight="12" x14ac:dyDescent="0.25"/>
  <cols>
    <col min="1" max="1" width="3.88671875" style="2" customWidth="1"/>
    <col min="2" max="2" width="11.88671875" style="3" customWidth="1"/>
    <col min="3" max="4" width="6.6640625" style="4" customWidth="1"/>
    <col min="5" max="5" width="6.88671875" style="4" customWidth="1"/>
    <col min="6" max="6" width="6.88671875" style="3" customWidth="1"/>
    <col min="7" max="7" width="10.21875" style="3" customWidth="1"/>
    <col min="8" max="8" width="7.21875" style="3" customWidth="1"/>
    <col min="9" max="9" width="7.5546875" style="3" customWidth="1"/>
    <col min="10" max="10" width="7.77734375" style="3" customWidth="1"/>
    <col min="11" max="11" width="8.6640625" style="3" customWidth="1"/>
    <col min="12" max="13" width="7.21875" style="3" customWidth="1"/>
    <col min="14" max="14" width="6.88671875" style="3" customWidth="1"/>
    <col min="15" max="15" width="8.5546875" style="3" customWidth="1"/>
    <col min="16" max="16" width="9" style="3" customWidth="1"/>
    <col min="17" max="17" width="6.88671875" style="3" customWidth="1"/>
    <col min="18" max="18" width="7" style="3" customWidth="1"/>
    <col min="19" max="19" width="9" style="3" customWidth="1"/>
    <col min="20" max="20" width="9.21875" style="3" customWidth="1"/>
    <col min="21" max="21" width="7.88671875" style="3" customWidth="1"/>
    <col min="22" max="22" width="9.109375" style="3"/>
    <col min="23" max="23" width="11.77734375" style="3" bestFit="1" customWidth="1"/>
    <col min="24" max="27" width="9.5546875" style="3" bestFit="1" customWidth="1"/>
    <col min="28" max="28" width="23.88671875" style="3" customWidth="1"/>
    <col min="29" max="16366" width="9.109375" style="3"/>
    <col min="16367" max="16384" width="9" style="3"/>
  </cols>
  <sheetData>
    <row r="1" spans="1:21" ht="30" customHeight="1" x14ac:dyDescent="0.25">
      <c r="A1" s="42" t="s">
        <v>39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 s="1" customFormat="1" ht="15.75" customHeight="1" x14ac:dyDescent="0.25">
      <c r="A2" s="5"/>
      <c r="B2" s="6"/>
      <c r="C2" s="7"/>
      <c r="D2" s="7"/>
      <c r="E2" s="7"/>
      <c r="F2" s="6"/>
      <c r="G2" s="6"/>
      <c r="H2" s="44" t="s">
        <v>5</v>
      </c>
      <c r="I2" s="44"/>
      <c r="J2" s="44"/>
      <c r="K2" s="44"/>
      <c r="L2" s="44" t="s">
        <v>6</v>
      </c>
      <c r="M2" s="44"/>
      <c r="N2" s="44"/>
      <c r="O2" s="44"/>
      <c r="P2" s="44"/>
      <c r="Q2" s="44" t="s">
        <v>7</v>
      </c>
      <c r="R2" s="44"/>
      <c r="S2" s="44"/>
      <c r="T2" s="44"/>
      <c r="U2" s="20"/>
    </row>
    <row r="3" spans="1:21" s="1" customFormat="1" ht="39" customHeight="1" x14ac:dyDescent="0.25">
      <c r="A3" s="5" t="s">
        <v>8</v>
      </c>
      <c r="B3" s="5" t="s">
        <v>0</v>
      </c>
      <c r="C3" s="8" t="s">
        <v>35</v>
      </c>
      <c r="D3" s="8" t="s">
        <v>9</v>
      </c>
      <c r="E3" s="8" t="s">
        <v>10</v>
      </c>
      <c r="F3" s="9" t="s">
        <v>11</v>
      </c>
      <c r="G3" s="9" t="s">
        <v>12</v>
      </c>
      <c r="H3" s="8" t="s">
        <v>13</v>
      </c>
      <c r="I3" s="9" t="s">
        <v>14</v>
      </c>
      <c r="J3" s="9" t="s">
        <v>15</v>
      </c>
      <c r="K3" s="17" t="s">
        <v>16</v>
      </c>
      <c r="L3" s="8" t="s">
        <v>17</v>
      </c>
      <c r="M3" s="9" t="s">
        <v>18</v>
      </c>
      <c r="N3" s="9" t="s">
        <v>152</v>
      </c>
      <c r="O3" s="9" t="s">
        <v>19</v>
      </c>
      <c r="P3" s="17" t="s">
        <v>20</v>
      </c>
      <c r="Q3" s="8" t="s">
        <v>17</v>
      </c>
      <c r="R3" s="8" t="s">
        <v>18</v>
      </c>
      <c r="S3" s="9" t="s">
        <v>21</v>
      </c>
      <c r="T3" s="9" t="s">
        <v>15</v>
      </c>
      <c r="U3" s="17" t="s">
        <v>22</v>
      </c>
    </row>
    <row r="4" spans="1:21" s="1" customFormat="1" ht="18" customHeight="1" x14ac:dyDescent="0.25">
      <c r="A4" s="31"/>
      <c r="B4" s="31" t="s">
        <v>23</v>
      </c>
      <c r="C4" s="8">
        <v>10</v>
      </c>
      <c r="D4" s="8">
        <v>20</v>
      </c>
      <c r="E4" s="8">
        <v>30</v>
      </c>
      <c r="F4" s="9">
        <v>40</v>
      </c>
      <c r="G4" s="9">
        <v>100</v>
      </c>
      <c r="H4" s="10">
        <v>4</v>
      </c>
      <c r="I4" s="10">
        <v>10</v>
      </c>
      <c r="J4" s="10">
        <v>12</v>
      </c>
      <c r="K4" s="18">
        <f>SUM(H4:J4)</f>
        <v>26</v>
      </c>
      <c r="L4" s="10">
        <v>3</v>
      </c>
      <c r="M4" s="10">
        <v>5</v>
      </c>
      <c r="N4" s="10">
        <v>5</v>
      </c>
      <c r="O4" s="10">
        <v>16</v>
      </c>
      <c r="P4" s="18">
        <f>SUM(L4:O4)</f>
        <v>29</v>
      </c>
      <c r="Q4" s="10">
        <v>3</v>
      </c>
      <c r="R4" s="10">
        <v>5</v>
      </c>
      <c r="S4" s="10">
        <v>25</v>
      </c>
      <c r="T4" s="10">
        <v>12</v>
      </c>
      <c r="U4" s="18">
        <f>SUM(Q4:T4)</f>
        <v>45</v>
      </c>
    </row>
    <row r="5" spans="1:21" s="1" customFormat="1" ht="18" hidden="1" customHeight="1" x14ac:dyDescent="0.25">
      <c r="A5" s="5"/>
      <c r="B5" s="5"/>
      <c r="C5" s="8">
        <v>10</v>
      </c>
      <c r="D5" s="8"/>
      <c r="E5" s="8">
        <v>40</v>
      </c>
      <c r="F5" s="9">
        <v>50</v>
      </c>
      <c r="G5" s="9"/>
      <c r="H5" s="11">
        <f t="shared" ref="H5:H36" si="0">C5*$H$4/$C$4</f>
        <v>4</v>
      </c>
      <c r="I5" s="11">
        <f>E5*$I$4/$E$4</f>
        <v>13.333333333333334</v>
      </c>
      <c r="J5" s="11">
        <f>F5*$J$4/$F$4</f>
        <v>15</v>
      </c>
      <c r="K5" s="19">
        <f t="shared" ref="K5:K36" si="1">SUM(H5:J5)/$K$4</f>
        <v>1.2435897435897436</v>
      </c>
      <c r="L5" s="11">
        <f t="shared" ref="L5:L36" si="2">C5*$L$4/$C$4</f>
        <v>3</v>
      </c>
      <c r="M5" s="11">
        <f>I5*$I$4/$E$4</f>
        <v>4.4444444444444446</v>
      </c>
      <c r="N5" s="11">
        <f t="shared" ref="N5:N36" si="3">E5*$N$4/$E$4</f>
        <v>6.666666666666667</v>
      </c>
      <c r="O5" s="11">
        <f>F5*$O$4/$F$4</f>
        <v>20</v>
      </c>
      <c r="P5" s="19">
        <f>(L5+N5+O5)/$P$4</f>
        <v>1.0229885057471264</v>
      </c>
      <c r="Q5" s="11">
        <f t="shared" ref="Q5:Q36" si="4">C5*$Q$4/$C$4</f>
        <v>3</v>
      </c>
      <c r="R5" s="11"/>
      <c r="S5" s="11">
        <f t="shared" ref="S5:S36" si="5">E5*$S$4/$E$4</f>
        <v>33.333333333333336</v>
      </c>
      <c r="T5" s="11">
        <f>F5*$T$4/$F$4</f>
        <v>15</v>
      </c>
      <c r="U5" s="19">
        <f>(Q5+S5+T5)/$U$4</f>
        <v>1.1407407407407408</v>
      </c>
    </row>
    <row r="6" spans="1:21" ht="13.2" x14ac:dyDescent="0.25">
      <c r="A6" s="12">
        <v>1</v>
      </c>
      <c r="B6" s="21" t="s">
        <v>41</v>
      </c>
      <c r="C6" s="13">
        <v>10</v>
      </c>
      <c r="D6" s="13">
        <v>18</v>
      </c>
      <c r="E6" s="13">
        <v>26</v>
      </c>
      <c r="F6" s="14">
        <v>51</v>
      </c>
      <c r="G6" s="15">
        <v>74</v>
      </c>
      <c r="H6" s="11">
        <f t="shared" si="0"/>
        <v>4</v>
      </c>
      <c r="I6" s="11">
        <f t="shared" ref="I6:I37" si="6">D6*$I$4/$D$4</f>
        <v>9</v>
      </c>
      <c r="J6" s="11">
        <f>(F6*$F$4/100)*$J$4/$F$4</f>
        <v>6.1199999999999992</v>
      </c>
      <c r="K6" s="19">
        <f t="shared" si="1"/>
        <v>0.7353846153846153</v>
      </c>
      <c r="L6" s="11">
        <f t="shared" si="2"/>
        <v>3</v>
      </c>
      <c r="M6" s="11">
        <f t="shared" ref="M6:M37" si="7">D6*$M$4/$D$4</f>
        <v>4.5</v>
      </c>
      <c r="N6" s="11">
        <f t="shared" si="3"/>
        <v>4.333333333333333</v>
      </c>
      <c r="O6" s="11">
        <f t="shared" ref="O6:O37" si="8">(F6*$F$4/100)*$O$4/$F$4</f>
        <v>8.16</v>
      </c>
      <c r="P6" s="19">
        <f t="shared" ref="P6:P37" si="9">(L6+M6+N6+O6)/$P$4</f>
        <v>0.6894252873563218</v>
      </c>
      <c r="Q6" s="11">
        <f t="shared" si="4"/>
        <v>3</v>
      </c>
      <c r="R6" s="11">
        <f t="shared" ref="R6:R37" si="10">D6*$R$4/$D$4</f>
        <v>4.5</v>
      </c>
      <c r="S6" s="11">
        <f t="shared" si="5"/>
        <v>21.666666666666668</v>
      </c>
      <c r="T6" s="11">
        <f t="shared" ref="T6:T37" si="11">(F6*$F$4/100)*$T$4/$F$4</f>
        <v>6.1199999999999992</v>
      </c>
      <c r="U6" s="19">
        <f t="shared" ref="U6:U37" si="12">(Q6+R6+S6+T6)/$U$4</f>
        <v>0.78414814814814815</v>
      </c>
    </row>
    <row r="7" spans="1:21" ht="13.2" x14ac:dyDescent="0.25">
      <c r="A7" s="12">
        <v>2</v>
      </c>
      <c r="B7" s="21" t="s">
        <v>42</v>
      </c>
      <c r="C7" s="13">
        <v>10</v>
      </c>
      <c r="D7" s="13">
        <v>17</v>
      </c>
      <c r="E7" s="13">
        <v>28</v>
      </c>
      <c r="F7" s="14">
        <v>66</v>
      </c>
      <c r="G7" s="15">
        <v>81</v>
      </c>
      <c r="H7" s="11">
        <f t="shared" si="0"/>
        <v>4</v>
      </c>
      <c r="I7" s="11">
        <f t="shared" si="6"/>
        <v>8.5</v>
      </c>
      <c r="J7" s="11">
        <f t="shared" ref="J7:J37" si="13">(F7*$F$4/100)*$J$4/$F$4</f>
        <v>7.919999999999999</v>
      </c>
      <c r="K7" s="19">
        <f t="shared" si="1"/>
        <v>0.78538461538461535</v>
      </c>
      <c r="L7" s="11">
        <f t="shared" si="2"/>
        <v>3</v>
      </c>
      <c r="M7" s="11">
        <f t="shared" si="7"/>
        <v>4.25</v>
      </c>
      <c r="N7" s="11">
        <f t="shared" si="3"/>
        <v>4.666666666666667</v>
      </c>
      <c r="O7" s="11">
        <f t="shared" si="8"/>
        <v>10.559999999999999</v>
      </c>
      <c r="P7" s="19">
        <f t="shared" si="9"/>
        <v>0.77505747126436786</v>
      </c>
      <c r="Q7" s="11">
        <f t="shared" si="4"/>
        <v>3</v>
      </c>
      <c r="R7" s="11">
        <f t="shared" si="10"/>
        <v>4.25</v>
      </c>
      <c r="S7" s="11">
        <f t="shared" si="5"/>
        <v>23.333333333333332</v>
      </c>
      <c r="T7" s="11">
        <f t="shared" si="11"/>
        <v>7.919999999999999</v>
      </c>
      <c r="U7" s="19">
        <f t="shared" si="12"/>
        <v>0.85562962962962952</v>
      </c>
    </row>
    <row r="8" spans="1:21" ht="13.2" x14ac:dyDescent="0.25">
      <c r="A8" s="12">
        <v>3</v>
      </c>
      <c r="B8" s="21" t="s">
        <v>43</v>
      </c>
      <c r="C8" s="13">
        <v>10</v>
      </c>
      <c r="D8" s="13">
        <v>20</v>
      </c>
      <c r="E8" s="13">
        <v>30</v>
      </c>
      <c r="F8" s="14">
        <v>74</v>
      </c>
      <c r="G8" s="15">
        <v>89</v>
      </c>
      <c r="H8" s="11">
        <f t="shared" si="0"/>
        <v>4</v>
      </c>
      <c r="I8" s="11">
        <f t="shared" si="6"/>
        <v>10</v>
      </c>
      <c r="J8" s="11">
        <f t="shared" si="13"/>
        <v>8.8800000000000008</v>
      </c>
      <c r="K8" s="19">
        <f t="shared" si="1"/>
        <v>0.88000000000000012</v>
      </c>
      <c r="L8" s="11">
        <f t="shared" si="2"/>
        <v>3</v>
      </c>
      <c r="M8" s="11">
        <f t="shared" si="7"/>
        <v>5</v>
      </c>
      <c r="N8" s="11">
        <f t="shared" si="3"/>
        <v>5</v>
      </c>
      <c r="O8" s="11">
        <f t="shared" si="8"/>
        <v>11.84</v>
      </c>
      <c r="P8" s="19">
        <f t="shared" si="9"/>
        <v>0.85655172413793101</v>
      </c>
      <c r="Q8" s="11">
        <f t="shared" si="4"/>
        <v>3</v>
      </c>
      <c r="R8" s="11">
        <f t="shared" si="10"/>
        <v>5</v>
      </c>
      <c r="S8" s="11">
        <f t="shared" si="5"/>
        <v>25</v>
      </c>
      <c r="T8" s="11">
        <f t="shared" si="11"/>
        <v>8.8800000000000008</v>
      </c>
      <c r="U8" s="19">
        <f t="shared" si="12"/>
        <v>0.93066666666666675</v>
      </c>
    </row>
    <row r="9" spans="1:21" ht="13.2" x14ac:dyDescent="0.25">
      <c r="A9" s="12">
        <v>4</v>
      </c>
      <c r="B9" s="21" t="s">
        <v>44</v>
      </c>
      <c r="C9" s="13">
        <v>10</v>
      </c>
      <c r="D9" s="13">
        <v>15</v>
      </c>
      <c r="E9" s="13">
        <v>22</v>
      </c>
      <c r="F9" s="14">
        <v>44</v>
      </c>
      <c r="G9" s="15">
        <v>64</v>
      </c>
      <c r="H9" s="11">
        <f t="shared" si="0"/>
        <v>4</v>
      </c>
      <c r="I9" s="11">
        <f t="shared" si="6"/>
        <v>7.5</v>
      </c>
      <c r="J9" s="11">
        <f t="shared" si="13"/>
        <v>5.28</v>
      </c>
      <c r="K9" s="19">
        <f t="shared" si="1"/>
        <v>0.64538461538461545</v>
      </c>
      <c r="L9" s="11">
        <f t="shared" si="2"/>
        <v>3</v>
      </c>
      <c r="M9" s="11">
        <f t="shared" si="7"/>
        <v>3.75</v>
      </c>
      <c r="N9" s="11">
        <f t="shared" si="3"/>
        <v>3.6666666666666665</v>
      </c>
      <c r="O9" s="11">
        <f t="shared" si="8"/>
        <v>7.0400000000000009</v>
      </c>
      <c r="P9" s="19">
        <f t="shared" si="9"/>
        <v>0.60195402298850575</v>
      </c>
      <c r="Q9" s="11">
        <f t="shared" si="4"/>
        <v>3</v>
      </c>
      <c r="R9" s="11">
        <f t="shared" si="10"/>
        <v>3.75</v>
      </c>
      <c r="S9" s="11">
        <f t="shared" si="5"/>
        <v>18.333333333333332</v>
      </c>
      <c r="T9" s="11">
        <f t="shared" si="11"/>
        <v>5.28</v>
      </c>
      <c r="U9" s="19">
        <f t="shared" si="12"/>
        <v>0.67474074074074075</v>
      </c>
    </row>
    <row r="10" spans="1:21" ht="13.2" x14ac:dyDescent="0.25">
      <c r="A10" s="12">
        <v>5</v>
      </c>
      <c r="B10" s="21" t="s">
        <v>45</v>
      </c>
      <c r="C10" s="13">
        <v>10</v>
      </c>
      <c r="D10" s="13">
        <v>18</v>
      </c>
      <c r="E10" s="13">
        <v>28</v>
      </c>
      <c r="F10" s="14">
        <v>51</v>
      </c>
      <c r="G10" s="15">
        <v>76</v>
      </c>
      <c r="H10" s="11">
        <f t="shared" si="0"/>
        <v>4</v>
      </c>
      <c r="I10" s="11">
        <f t="shared" si="6"/>
        <v>9</v>
      </c>
      <c r="J10" s="11">
        <f t="shared" si="13"/>
        <v>6.1199999999999992</v>
      </c>
      <c r="K10" s="19">
        <f t="shared" si="1"/>
        <v>0.7353846153846153</v>
      </c>
      <c r="L10" s="11">
        <f t="shared" si="2"/>
        <v>3</v>
      </c>
      <c r="M10" s="11">
        <f t="shared" si="7"/>
        <v>4.5</v>
      </c>
      <c r="N10" s="11">
        <f t="shared" si="3"/>
        <v>4.666666666666667</v>
      </c>
      <c r="O10" s="11">
        <f t="shared" si="8"/>
        <v>8.16</v>
      </c>
      <c r="P10" s="19">
        <f t="shared" si="9"/>
        <v>0.70091954022988512</v>
      </c>
      <c r="Q10" s="11">
        <f t="shared" si="4"/>
        <v>3</v>
      </c>
      <c r="R10" s="11">
        <f t="shared" si="10"/>
        <v>4.5</v>
      </c>
      <c r="S10" s="11">
        <f t="shared" si="5"/>
        <v>23.333333333333332</v>
      </c>
      <c r="T10" s="11">
        <f t="shared" si="11"/>
        <v>6.1199999999999992</v>
      </c>
      <c r="U10" s="19">
        <f t="shared" si="12"/>
        <v>0.82118518518518513</v>
      </c>
    </row>
    <row r="11" spans="1:21" s="39" customFormat="1" ht="13.2" x14ac:dyDescent="0.25">
      <c r="A11" s="32">
        <v>6</v>
      </c>
      <c r="B11" s="21" t="s">
        <v>46</v>
      </c>
      <c r="C11" s="13">
        <v>9</v>
      </c>
      <c r="D11" s="13">
        <v>18</v>
      </c>
      <c r="E11" s="13">
        <v>27</v>
      </c>
      <c r="F11" s="14">
        <v>45</v>
      </c>
      <c r="G11" s="15">
        <v>72</v>
      </c>
      <c r="H11" s="37">
        <f t="shared" si="0"/>
        <v>3.6</v>
      </c>
      <c r="I11" s="37">
        <f t="shared" si="6"/>
        <v>9</v>
      </c>
      <c r="J11" s="37">
        <f t="shared" si="13"/>
        <v>5.4</v>
      </c>
      <c r="K11" s="38">
        <f t="shared" si="1"/>
        <v>0.69230769230769229</v>
      </c>
      <c r="L11" s="37">
        <f t="shared" si="2"/>
        <v>2.7</v>
      </c>
      <c r="M11" s="37">
        <f t="shared" si="7"/>
        <v>4.5</v>
      </c>
      <c r="N11" s="37">
        <f t="shared" si="3"/>
        <v>4.5</v>
      </c>
      <c r="O11" s="37">
        <f t="shared" si="8"/>
        <v>7.2</v>
      </c>
      <c r="P11" s="38">
        <f t="shared" si="9"/>
        <v>0.65172413793103445</v>
      </c>
      <c r="Q11" s="37">
        <f t="shared" si="4"/>
        <v>2.7</v>
      </c>
      <c r="R11" s="37">
        <f t="shared" si="10"/>
        <v>4.5</v>
      </c>
      <c r="S11" s="37">
        <f t="shared" si="5"/>
        <v>22.5</v>
      </c>
      <c r="T11" s="37">
        <f t="shared" si="11"/>
        <v>5.4</v>
      </c>
      <c r="U11" s="38">
        <f t="shared" si="12"/>
        <v>0.78</v>
      </c>
    </row>
    <row r="12" spans="1:21" ht="13.2" x14ac:dyDescent="0.25">
      <c r="A12" s="12">
        <v>7</v>
      </c>
      <c r="B12" s="21" t="s">
        <v>47</v>
      </c>
      <c r="C12" s="13">
        <v>10</v>
      </c>
      <c r="D12" s="13">
        <v>18</v>
      </c>
      <c r="E12" s="13">
        <v>26</v>
      </c>
      <c r="F12" s="14">
        <v>51</v>
      </c>
      <c r="G12" s="15">
        <v>74</v>
      </c>
      <c r="H12" s="11">
        <f t="shared" si="0"/>
        <v>4</v>
      </c>
      <c r="I12" s="11">
        <f t="shared" si="6"/>
        <v>9</v>
      </c>
      <c r="J12" s="11">
        <f t="shared" si="13"/>
        <v>6.1199999999999992</v>
      </c>
      <c r="K12" s="19">
        <f t="shared" si="1"/>
        <v>0.7353846153846153</v>
      </c>
      <c r="L12" s="11">
        <f t="shared" si="2"/>
        <v>3</v>
      </c>
      <c r="M12" s="11">
        <f t="shared" si="7"/>
        <v>4.5</v>
      </c>
      <c r="N12" s="11">
        <f t="shared" si="3"/>
        <v>4.333333333333333</v>
      </c>
      <c r="O12" s="11">
        <f t="shared" si="8"/>
        <v>8.16</v>
      </c>
      <c r="P12" s="19">
        <f t="shared" si="9"/>
        <v>0.6894252873563218</v>
      </c>
      <c r="Q12" s="11">
        <f t="shared" si="4"/>
        <v>3</v>
      </c>
      <c r="R12" s="11">
        <f t="shared" si="10"/>
        <v>4.5</v>
      </c>
      <c r="S12" s="11">
        <f t="shared" si="5"/>
        <v>21.666666666666668</v>
      </c>
      <c r="T12" s="11">
        <f t="shared" si="11"/>
        <v>6.1199999999999992</v>
      </c>
      <c r="U12" s="19">
        <f t="shared" si="12"/>
        <v>0.78414814814814815</v>
      </c>
    </row>
    <row r="13" spans="1:21" ht="13.2" x14ac:dyDescent="0.25">
      <c r="A13" s="12">
        <v>8</v>
      </c>
      <c r="B13" s="21" t="s">
        <v>48</v>
      </c>
      <c r="C13" s="13">
        <v>10</v>
      </c>
      <c r="D13" s="13">
        <v>19</v>
      </c>
      <c r="E13" s="13">
        <v>28</v>
      </c>
      <c r="F13" s="14">
        <v>53</v>
      </c>
      <c r="G13" s="15">
        <v>78</v>
      </c>
      <c r="H13" s="11">
        <f t="shared" si="0"/>
        <v>4</v>
      </c>
      <c r="I13" s="11">
        <f t="shared" si="6"/>
        <v>9.5</v>
      </c>
      <c r="J13" s="11">
        <f t="shared" si="13"/>
        <v>6.3599999999999994</v>
      </c>
      <c r="K13" s="19">
        <f t="shared" si="1"/>
        <v>0.76384615384615384</v>
      </c>
      <c r="L13" s="11">
        <f t="shared" si="2"/>
        <v>3</v>
      </c>
      <c r="M13" s="11">
        <f t="shared" si="7"/>
        <v>4.75</v>
      </c>
      <c r="N13" s="11">
        <f t="shared" si="3"/>
        <v>4.666666666666667</v>
      </c>
      <c r="O13" s="11">
        <f t="shared" si="8"/>
        <v>8.48</v>
      </c>
      <c r="P13" s="19">
        <f t="shared" si="9"/>
        <v>0.72057471264367823</v>
      </c>
      <c r="Q13" s="11">
        <f t="shared" si="4"/>
        <v>3</v>
      </c>
      <c r="R13" s="11">
        <f t="shared" si="10"/>
        <v>4.75</v>
      </c>
      <c r="S13" s="11">
        <f t="shared" si="5"/>
        <v>23.333333333333332</v>
      </c>
      <c r="T13" s="11">
        <f t="shared" si="11"/>
        <v>6.3599999999999994</v>
      </c>
      <c r="U13" s="19">
        <f t="shared" si="12"/>
        <v>0.83207407407407397</v>
      </c>
    </row>
    <row r="14" spans="1:21" ht="13.2" x14ac:dyDescent="0.25">
      <c r="A14" s="12">
        <v>9</v>
      </c>
      <c r="B14" s="21" t="s">
        <v>49</v>
      </c>
      <c r="C14" s="13">
        <v>10</v>
      </c>
      <c r="D14" s="13">
        <v>16</v>
      </c>
      <c r="E14" s="13">
        <v>21</v>
      </c>
      <c r="F14" s="14">
        <v>38</v>
      </c>
      <c r="G14" s="15">
        <v>62</v>
      </c>
      <c r="H14" s="11">
        <f t="shared" si="0"/>
        <v>4</v>
      </c>
      <c r="I14" s="11">
        <f t="shared" si="6"/>
        <v>8</v>
      </c>
      <c r="J14" s="11">
        <f t="shared" si="13"/>
        <v>4.5599999999999996</v>
      </c>
      <c r="K14" s="19">
        <f t="shared" si="1"/>
        <v>0.63692307692307693</v>
      </c>
      <c r="L14" s="11">
        <f t="shared" si="2"/>
        <v>3</v>
      </c>
      <c r="M14" s="11">
        <f t="shared" si="7"/>
        <v>4</v>
      </c>
      <c r="N14" s="11">
        <f t="shared" si="3"/>
        <v>3.5</v>
      </c>
      <c r="O14" s="11">
        <f t="shared" si="8"/>
        <v>6.08</v>
      </c>
      <c r="P14" s="19">
        <f t="shared" si="9"/>
        <v>0.57172413793103438</v>
      </c>
      <c r="Q14" s="11">
        <f t="shared" si="4"/>
        <v>3</v>
      </c>
      <c r="R14" s="11">
        <f t="shared" si="10"/>
        <v>4</v>
      </c>
      <c r="S14" s="11">
        <f t="shared" si="5"/>
        <v>17.5</v>
      </c>
      <c r="T14" s="11">
        <f t="shared" si="11"/>
        <v>4.5599999999999996</v>
      </c>
      <c r="U14" s="19">
        <f t="shared" si="12"/>
        <v>0.64577777777777778</v>
      </c>
    </row>
    <row r="15" spans="1:21" ht="13.2" x14ac:dyDescent="0.25">
      <c r="A15" s="12">
        <v>10</v>
      </c>
      <c r="B15" s="21" t="s">
        <v>50</v>
      </c>
      <c r="C15" s="13">
        <v>10</v>
      </c>
      <c r="D15" s="13">
        <v>15</v>
      </c>
      <c r="E15" s="13">
        <v>22</v>
      </c>
      <c r="F15" s="14">
        <v>39</v>
      </c>
      <c r="G15" s="15">
        <v>62</v>
      </c>
      <c r="H15" s="11">
        <f t="shared" si="0"/>
        <v>4</v>
      </c>
      <c r="I15" s="11">
        <f t="shared" si="6"/>
        <v>7.5</v>
      </c>
      <c r="J15" s="11">
        <f t="shared" si="13"/>
        <v>4.68</v>
      </c>
      <c r="K15" s="19">
        <f t="shared" si="1"/>
        <v>0.62230769230769234</v>
      </c>
      <c r="L15" s="11">
        <f t="shared" si="2"/>
        <v>3</v>
      </c>
      <c r="M15" s="11">
        <f t="shared" si="7"/>
        <v>3.75</v>
      </c>
      <c r="N15" s="11">
        <f t="shared" si="3"/>
        <v>3.6666666666666665</v>
      </c>
      <c r="O15" s="11">
        <f t="shared" si="8"/>
        <v>6.24</v>
      </c>
      <c r="P15" s="19">
        <f t="shared" si="9"/>
        <v>0.57436781609195398</v>
      </c>
      <c r="Q15" s="11">
        <f t="shared" si="4"/>
        <v>3</v>
      </c>
      <c r="R15" s="11">
        <f t="shared" si="10"/>
        <v>3.75</v>
      </c>
      <c r="S15" s="11">
        <f t="shared" si="5"/>
        <v>18.333333333333332</v>
      </c>
      <c r="T15" s="11">
        <f t="shared" si="11"/>
        <v>4.68</v>
      </c>
      <c r="U15" s="19">
        <f t="shared" si="12"/>
        <v>0.66140740740740733</v>
      </c>
    </row>
    <row r="16" spans="1:21" ht="13.2" x14ac:dyDescent="0.25">
      <c r="A16" s="12">
        <v>11</v>
      </c>
      <c r="B16" s="21" t="s">
        <v>51</v>
      </c>
      <c r="C16" s="13">
        <v>10</v>
      </c>
      <c r="D16" s="13">
        <v>20</v>
      </c>
      <c r="E16" s="13">
        <v>29</v>
      </c>
      <c r="F16" s="14">
        <v>60</v>
      </c>
      <c r="G16" s="15">
        <v>83</v>
      </c>
      <c r="H16" s="11">
        <f t="shared" si="0"/>
        <v>4</v>
      </c>
      <c r="I16" s="11">
        <f t="shared" si="6"/>
        <v>10</v>
      </c>
      <c r="J16" s="11">
        <f t="shared" si="13"/>
        <v>7.2</v>
      </c>
      <c r="K16" s="19">
        <f t="shared" si="1"/>
        <v>0.81538461538461537</v>
      </c>
      <c r="L16" s="11">
        <f t="shared" si="2"/>
        <v>3</v>
      </c>
      <c r="M16" s="11">
        <f t="shared" si="7"/>
        <v>5</v>
      </c>
      <c r="N16" s="11">
        <f t="shared" si="3"/>
        <v>4.833333333333333</v>
      </c>
      <c r="O16" s="11">
        <f t="shared" si="8"/>
        <v>9.6</v>
      </c>
      <c r="P16" s="19">
        <f t="shared" si="9"/>
        <v>0.77356321839080444</v>
      </c>
      <c r="Q16" s="11">
        <f t="shared" si="4"/>
        <v>3</v>
      </c>
      <c r="R16" s="11">
        <f t="shared" si="10"/>
        <v>5</v>
      </c>
      <c r="S16" s="11">
        <f t="shared" si="5"/>
        <v>24.166666666666668</v>
      </c>
      <c r="T16" s="11">
        <f t="shared" si="11"/>
        <v>7.2</v>
      </c>
      <c r="U16" s="19">
        <f t="shared" si="12"/>
        <v>0.87481481481481493</v>
      </c>
    </row>
    <row r="17" spans="1:21" ht="13.2" x14ac:dyDescent="0.25">
      <c r="A17" s="12">
        <v>12</v>
      </c>
      <c r="B17" s="21" t="s">
        <v>52</v>
      </c>
      <c r="C17" s="13">
        <v>10</v>
      </c>
      <c r="D17" s="13">
        <v>18</v>
      </c>
      <c r="E17" s="13">
        <v>27</v>
      </c>
      <c r="F17" s="14">
        <v>66</v>
      </c>
      <c r="G17" s="15">
        <v>81</v>
      </c>
      <c r="H17" s="11">
        <f t="shared" si="0"/>
        <v>4</v>
      </c>
      <c r="I17" s="11">
        <f t="shared" si="6"/>
        <v>9</v>
      </c>
      <c r="J17" s="11">
        <f t="shared" si="13"/>
        <v>7.919999999999999</v>
      </c>
      <c r="K17" s="19">
        <f t="shared" si="1"/>
        <v>0.80461538461538451</v>
      </c>
      <c r="L17" s="11">
        <f t="shared" si="2"/>
        <v>3</v>
      </c>
      <c r="M17" s="11">
        <f t="shared" si="7"/>
        <v>4.5</v>
      </c>
      <c r="N17" s="11">
        <f t="shared" si="3"/>
        <v>4.5</v>
      </c>
      <c r="O17" s="11">
        <f t="shared" si="8"/>
        <v>10.559999999999999</v>
      </c>
      <c r="P17" s="19">
        <f t="shared" si="9"/>
        <v>0.77793103448275858</v>
      </c>
      <c r="Q17" s="11">
        <f t="shared" si="4"/>
        <v>3</v>
      </c>
      <c r="R17" s="11">
        <f t="shared" si="10"/>
        <v>4.5</v>
      </c>
      <c r="S17" s="11">
        <f t="shared" si="5"/>
        <v>22.5</v>
      </c>
      <c r="T17" s="11">
        <f t="shared" si="11"/>
        <v>7.919999999999999</v>
      </c>
      <c r="U17" s="19">
        <f t="shared" si="12"/>
        <v>0.84266666666666667</v>
      </c>
    </row>
    <row r="18" spans="1:21" ht="13.2" x14ac:dyDescent="0.25">
      <c r="A18" s="12">
        <v>13</v>
      </c>
      <c r="B18" s="21" t="s">
        <v>53</v>
      </c>
      <c r="C18" s="13">
        <v>10</v>
      </c>
      <c r="D18" s="13">
        <v>18</v>
      </c>
      <c r="E18" s="13">
        <v>26</v>
      </c>
      <c r="F18" s="14">
        <v>51</v>
      </c>
      <c r="G18" s="15">
        <v>74</v>
      </c>
      <c r="H18" s="11">
        <f t="shared" si="0"/>
        <v>4</v>
      </c>
      <c r="I18" s="11">
        <f t="shared" si="6"/>
        <v>9</v>
      </c>
      <c r="J18" s="11">
        <f t="shared" si="13"/>
        <v>6.1199999999999992</v>
      </c>
      <c r="K18" s="19">
        <f t="shared" si="1"/>
        <v>0.7353846153846153</v>
      </c>
      <c r="L18" s="11">
        <f t="shared" si="2"/>
        <v>3</v>
      </c>
      <c r="M18" s="11">
        <f t="shared" si="7"/>
        <v>4.5</v>
      </c>
      <c r="N18" s="11">
        <f t="shared" si="3"/>
        <v>4.333333333333333</v>
      </c>
      <c r="O18" s="11">
        <f t="shared" si="8"/>
        <v>8.16</v>
      </c>
      <c r="P18" s="19">
        <f t="shared" si="9"/>
        <v>0.6894252873563218</v>
      </c>
      <c r="Q18" s="11">
        <f t="shared" si="4"/>
        <v>3</v>
      </c>
      <c r="R18" s="11">
        <f t="shared" si="10"/>
        <v>4.5</v>
      </c>
      <c r="S18" s="11">
        <f t="shared" si="5"/>
        <v>21.666666666666668</v>
      </c>
      <c r="T18" s="11">
        <f t="shared" si="11"/>
        <v>6.1199999999999992</v>
      </c>
      <c r="U18" s="19">
        <f t="shared" si="12"/>
        <v>0.78414814814814815</v>
      </c>
    </row>
    <row r="19" spans="1:21" ht="13.2" x14ac:dyDescent="0.25">
      <c r="A19" s="12">
        <v>14</v>
      </c>
      <c r="B19" s="21" t="s">
        <v>54</v>
      </c>
      <c r="C19" s="13">
        <v>10</v>
      </c>
      <c r="D19" s="13">
        <v>16</v>
      </c>
      <c r="E19" s="13">
        <v>24</v>
      </c>
      <c r="F19" s="14">
        <v>46</v>
      </c>
      <c r="G19" s="15">
        <v>68</v>
      </c>
      <c r="H19" s="11">
        <f t="shared" si="0"/>
        <v>4</v>
      </c>
      <c r="I19" s="11">
        <f t="shared" si="6"/>
        <v>8</v>
      </c>
      <c r="J19" s="11">
        <f t="shared" si="13"/>
        <v>5.52</v>
      </c>
      <c r="K19" s="19">
        <f t="shared" si="1"/>
        <v>0.67384615384615387</v>
      </c>
      <c r="L19" s="11">
        <f t="shared" si="2"/>
        <v>3</v>
      </c>
      <c r="M19" s="11">
        <f t="shared" si="7"/>
        <v>4</v>
      </c>
      <c r="N19" s="11">
        <f t="shared" si="3"/>
        <v>4</v>
      </c>
      <c r="O19" s="11">
        <f t="shared" si="8"/>
        <v>7.3599999999999994</v>
      </c>
      <c r="P19" s="19">
        <f t="shared" si="9"/>
        <v>0.63310344827586207</v>
      </c>
      <c r="Q19" s="11">
        <f t="shared" si="4"/>
        <v>3</v>
      </c>
      <c r="R19" s="11">
        <f t="shared" si="10"/>
        <v>4</v>
      </c>
      <c r="S19" s="11">
        <f t="shared" si="5"/>
        <v>20</v>
      </c>
      <c r="T19" s="11">
        <f t="shared" si="11"/>
        <v>5.52</v>
      </c>
      <c r="U19" s="19">
        <f t="shared" si="12"/>
        <v>0.72266666666666657</v>
      </c>
    </row>
    <row r="20" spans="1:21" ht="13.2" x14ac:dyDescent="0.25">
      <c r="A20" s="12">
        <v>15</v>
      </c>
      <c r="B20" s="21" t="s">
        <v>55</v>
      </c>
      <c r="C20" s="13">
        <v>10</v>
      </c>
      <c r="D20" s="13">
        <v>20</v>
      </c>
      <c r="E20" s="13">
        <v>30</v>
      </c>
      <c r="F20" s="14">
        <v>72</v>
      </c>
      <c r="G20" s="15">
        <v>88</v>
      </c>
      <c r="H20" s="11">
        <f t="shared" si="0"/>
        <v>4</v>
      </c>
      <c r="I20" s="11">
        <f t="shared" si="6"/>
        <v>10</v>
      </c>
      <c r="J20" s="11">
        <f t="shared" si="13"/>
        <v>8.64</v>
      </c>
      <c r="K20" s="19">
        <f t="shared" si="1"/>
        <v>0.87076923076923074</v>
      </c>
      <c r="L20" s="11">
        <f t="shared" si="2"/>
        <v>3</v>
      </c>
      <c r="M20" s="11">
        <f t="shared" si="7"/>
        <v>5</v>
      </c>
      <c r="N20" s="11">
        <f t="shared" si="3"/>
        <v>5</v>
      </c>
      <c r="O20" s="11">
        <f t="shared" si="8"/>
        <v>11.52</v>
      </c>
      <c r="P20" s="19">
        <f t="shared" si="9"/>
        <v>0.84551724137931028</v>
      </c>
      <c r="Q20" s="11">
        <f t="shared" si="4"/>
        <v>3</v>
      </c>
      <c r="R20" s="11">
        <f t="shared" si="10"/>
        <v>5</v>
      </c>
      <c r="S20" s="11">
        <f t="shared" si="5"/>
        <v>25</v>
      </c>
      <c r="T20" s="11">
        <f t="shared" si="11"/>
        <v>8.64</v>
      </c>
      <c r="U20" s="19">
        <f t="shared" si="12"/>
        <v>0.92533333333333334</v>
      </c>
    </row>
    <row r="21" spans="1:21" ht="13.2" x14ac:dyDescent="0.25">
      <c r="A21" s="12">
        <v>16</v>
      </c>
      <c r="B21" s="21" t="s">
        <v>56</v>
      </c>
      <c r="C21" s="13">
        <v>10</v>
      </c>
      <c r="D21" s="13">
        <v>15</v>
      </c>
      <c r="E21" s="13">
        <v>22</v>
      </c>
      <c r="F21" s="14">
        <v>44</v>
      </c>
      <c r="G21" s="15">
        <v>64</v>
      </c>
      <c r="H21" s="11">
        <f t="shared" si="0"/>
        <v>4</v>
      </c>
      <c r="I21" s="11">
        <f t="shared" si="6"/>
        <v>7.5</v>
      </c>
      <c r="J21" s="11">
        <f t="shared" si="13"/>
        <v>5.28</v>
      </c>
      <c r="K21" s="19">
        <f t="shared" si="1"/>
        <v>0.64538461538461545</v>
      </c>
      <c r="L21" s="11">
        <f t="shared" si="2"/>
        <v>3</v>
      </c>
      <c r="M21" s="11">
        <f t="shared" si="7"/>
        <v>3.75</v>
      </c>
      <c r="N21" s="11">
        <f t="shared" si="3"/>
        <v>3.6666666666666665</v>
      </c>
      <c r="O21" s="11">
        <f t="shared" si="8"/>
        <v>7.0400000000000009</v>
      </c>
      <c r="P21" s="19">
        <f t="shared" si="9"/>
        <v>0.60195402298850575</v>
      </c>
      <c r="Q21" s="11">
        <f t="shared" si="4"/>
        <v>3</v>
      </c>
      <c r="R21" s="11">
        <f t="shared" si="10"/>
        <v>3.75</v>
      </c>
      <c r="S21" s="11">
        <f t="shared" si="5"/>
        <v>18.333333333333332</v>
      </c>
      <c r="T21" s="11">
        <f t="shared" si="11"/>
        <v>5.28</v>
      </c>
      <c r="U21" s="19">
        <f t="shared" si="12"/>
        <v>0.67474074074074075</v>
      </c>
    </row>
    <row r="22" spans="1:21" ht="13.2" x14ac:dyDescent="0.25">
      <c r="A22" s="12">
        <v>17</v>
      </c>
      <c r="B22" s="21" t="s">
        <v>57</v>
      </c>
      <c r="C22" s="13">
        <v>10</v>
      </c>
      <c r="D22" s="13">
        <v>18</v>
      </c>
      <c r="E22" s="13">
        <v>26</v>
      </c>
      <c r="F22" s="14">
        <v>41</v>
      </c>
      <c r="G22" s="15">
        <v>70</v>
      </c>
      <c r="H22" s="11">
        <f t="shared" si="0"/>
        <v>4</v>
      </c>
      <c r="I22" s="11">
        <f t="shared" si="6"/>
        <v>9</v>
      </c>
      <c r="J22" s="11">
        <f t="shared" si="13"/>
        <v>4.92</v>
      </c>
      <c r="K22" s="19">
        <f t="shared" si="1"/>
        <v>0.68923076923076931</v>
      </c>
      <c r="L22" s="11">
        <f t="shared" si="2"/>
        <v>3</v>
      </c>
      <c r="M22" s="11">
        <f t="shared" si="7"/>
        <v>4.5</v>
      </c>
      <c r="N22" s="11">
        <f t="shared" si="3"/>
        <v>4.333333333333333</v>
      </c>
      <c r="O22" s="11">
        <f t="shared" si="8"/>
        <v>6.56</v>
      </c>
      <c r="P22" s="19">
        <f t="shared" si="9"/>
        <v>0.63425287356321836</v>
      </c>
      <c r="Q22" s="11">
        <f t="shared" si="4"/>
        <v>3</v>
      </c>
      <c r="R22" s="11">
        <f t="shared" si="10"/>
        <v>4.5</v>
      </c>
      <c r="S22" s="11">
        <f t="shared" si="5"/>
        <v>21.666666666666668</v>
      </c>
      <c r="T22" s="11">
        <f t="shared" si="11"/>
        <v>4.92</v>
      </c>
      <c r="U22" s="19">
        <f t="shared" si="12"/>
        <v>0.75748148148148142</v>
      </c>
    </row>
    <row r="23" spans="1:21" ht="13.2" x14ac:dyDescent="0.25">
      <c r="A23" s="12">
        <v>18</v>
      </c>
      <c r="B23" s="21" t="s">
        <v>58</v>
      </c>
      <c r="C23" s="13">
        <v>9</v>
      </c>
      <c r="D23" s="13">
        <v>18</v>
      </c>
      <c r="E23" s="13">
        <v>26</v>
      </c>
      <c r="F23" s="14">
        <v>51</v>
      </c>
      <c r="G23" s="15">
        <v>73</v>
      </c>
      <c r="H23" s="11">
        <f t="shared" si="0"/>
        <v>3.6</v>
      </c>
      <c r="I23" s="11">
        <f t="shared" si="6"/>
        <v>9</v>
      </c>
      <c r="J23" s="11">
        <f t="shared" si="13"/>
        <v>6.1199999999999992</v>
      </c>
      <c r="K23" s="19">
        <f t="shared" si="1"/>
        <v>0.72</v>
      </c>
      <c r="L23" s="11">
        <f t="shared" si="2"/>
        <v>2.7</v>
      </c>
      <c r="M23" s="11">
        <f t="shared" si="7"/>
        <v>4.5</v>
      </c>
      <c r="N23" s="11">
        <f t="shared" si="3"/>
        <v>4.333333333333333</v>
      </c>
      <c r="O23" s="11">
        <f t="shared" si="8"/>
        <v>8.16</v>
      </c>
      <c r="P23" s="19">
        <f t="shared" si="9"/>
        <v>0.679080459770115</v>
      </c>
      <c r="Q23" s="11">
        <f t="shared" si="4"/>
        <v>2.7</v>
      </c>
      <c r="R23" s="11">
        <f t="shared" si="10"/>
        <v>4.5</v>
      </c>
      <c r="S23" s="11">
        <f t="shared" si="5"/>
        <v>21.666666666666668</v>
      </c>
      <c r="T23" s="11">
        <f t="shared" si="11"/>
        <v>6.1199999999999992</v>
      </c>
      <c r="U23" s="19">
        <f t="shared" si="12"/>
        <v>0.77748148148148144</v>
      </c>
    </row>
    <row r="24" spans="1:21" ht="13.2" x14ac:dyDescent="0.25">
      <c r="A24" s="12">
        <v>19</v>
      </c>
      <c r="B24" s="21" t="s">
        <v>59</v>
      </c>
      <c r="C24" s="13">
        <v>10</v>
      </c>
      <c r="D24" s="13">
        <v>17</v>
      </c>
      <c r="E24" s="13">
        <v>30</v>
      </c>
      <c r="F24" s="14">
        <v>59</v>
      </c>
      <c r="G24" s="15">
        <v>80</v>
      </c>
      <c r="H24" s="11">
        <f t="shared" si="0"/>
        <v>4</v>
      </c>
      <c r="I24" s="11">
        <f t="shared" si="6"/>
        <v>8.5</v>
      </c>
      <c r="J24" s="11">
        <f t="shared" si="13"/>
        <v>7.080000000000001</v>
      </c>
      <c r="K24" s="19">
        <f t="shared" si="1"/>
        <v>0.7530769230769232</v>
      </c>
      <c r="L24" s="11">
        <f t="shared" si="2"/>
        <v>3</v>
      </c>
      <c r="M24" s="11">
        <f t="shared" si="7"/>
        <v>4.25</v>
      </c>
      <c r="N24" s="11">
        <f t="shared" si="3"/>
        <v>5</v>
      </c>
      <c r="O24" s="11">
        <f t="shared" si="8"/>
        <v>9.4400000000000013</v>
      </c>
      <c r="P24" s="19">
        <f t="shared" si="9"/>
        <v>0.74793103448275866</v>
      </c>
      <c r="Q24" s="11">
        <f t="shared" si="4"/>
        <v>3</v>
      </c>
      <c r="R24" s="11">
        <f t="shared" si="10"/>
        <v>4.25</v>
      </c>
      <c r="S24" s="11">
        <f t="shared" si="5"/>
        <v>25</v>
      </c>
      <c r="T24" s="11">
        <f t="shared" si="11"/>
        <v>7.080000000000001</v>
      </c>
      <c r="U24" s="19">
        <f t="shared" si="12"/>
        <v>0.874</v>
      </c>
    </row>
    <row r="25" spans="1:21" ht="13.2" x14ac:dyDescent="0.25">
      <c r="A25" s="12">
        <v>20</v>
      </c>
      <c r="B25" s="21" t="s">
        <v>60</v>
      </c>
      <c r="C25" s="13">
        <v>9</v>
      </c>
      <c r="D25" s="13">
        <v>17</v>
      </c>
      <c r="E25" s="13">
        <v>22</v>
      </c>
      <c r="F25" s="14">
        <v>34</v>
      </c>
      <c r="G25" s="15">
        <v>61</v>
      </c>
      <c r="H25" s="11">
        <f t="shared" si="0"/>
        <v>3.6</v>
      </c>
      <c r="I25" s="11">
        <f t="shared" si="6"/>
        <v>8.5</v>
      </c>
      <c r="J25" s="11">
        <f t="shared" si="13"/>
        <v>4.08</v>
      </c>
      <c r="K25" s="19">
        <f t="shared" si="1"/>
        <v>0.62230769230769234</v>
      </c>
      <c r="L25" s="11">
        <f t="shared" si="2"/>
        <v>2.7</v>
      </c>
      <c r="M25" s="11">
        <f t="shared" si="7"/>
        <v>4.25</v>
      </c>
      <c r="N25" s="11">
        <f t="shared" si="3"/>
        <v>3.6666666666666665</v>
      </c>
      <c r="O25" s="11">
        <f t="shared" si="8"/>
        <v>5.4399999999999995</v>
      </c>
      <c r="P25" s="19">
        <f t="shared" si="9"/>
        <v>0.55367816091954014</v>
      </c>
      <c r="Q25" s="11">
        <f t="shared" si="4"/>
        <v>2.7</v>
      </c>
      <c r="R25" s="11">
        <f t="shared" si="10"/>
        <v>4.25</v>
      </c>
      <c r="S25" s="11">
        <f t="shared" si="5"/>
        <v>18.333333333333332</v>
      </c>
      <c r="T25" s="11">
        <f t="shared" si="11"/>
        <v>4.08</v>
      </c>
      <c r="U25" s="19">
        <f t="shared" si="12"/>
        <v>0.65251851851851839</v>
      </c>
    </row>
    <row r="26" spans="1:21" ht="13.2" x14ac:dyDescent="0.25">
      <c r="A26" s="12">
        <v>21</v>
      </c>
      <c r="B26" s="21" t="s">
        <v>61</v>
      </c>
      <c r="C26" s="13">
        <v>9</v>
      </c>
      <c r="D26" s="13">
        <v>16</v>
      </c>
      <c r="E26" s="13">
        <v>24</v>
      </c>
      <c r="F26" s="14">
        <v>49</v>
      </c>
      <c r="G26" s="15">
        <v>68</v>
      </c>
      <c r="H26" s="11">
        <f t="shared" si="0"/>
        <v>3.6</v>
      </c>
      <c r="I26" s="11">
        <f t="shared" si="6"/>
        <v>8</v>
      </c>
      <c r="J26" s="11">
        <f t="shared" si="13"/>
        <v>5.8800000000000008</v>
      </c>
      <c r="K26" s="19">
        <f t="shared" si="1"/>
        <v>0.67230769230769227</v>
      </c>
      <c r="L26" s="11">
        <f t="shared" si="2"/>
        <v>2.7</v>
      </c>
      <c r="M26" s="11">
        <f t="shared" si="7"/>
        <v>4</v>
      </c>
      <c r="N26" s="11">
        <f t="shared" si="3"/>
        <v>4</v>
      </c>
      <c r="O26" s="11">
        <f t="shared" si="8"/>
        <v>7.8400000000000007</v>
      </c>
      <c r="P26" s="19">
        <f t="shared" si="9"/>
        <v>0.6393103448275862</v>
      </c>
      <c r="Q26" s="11">
        <f t="shared" si="4"/>
        <v>2.7</v>
      </c>
      <c r="R26" s="11">
        <f t="shared" si="10"/>
        <v>4</v>
      </c>
      <c r="S26" s="11">
        <f t="shared" si="5"/>
        <v>20</v>
      </c>
      <c r="T26" s="11">
        <f t="shared" si="11"/>
        <v>5.8800000000000008</v>
      </c>
      <c r="U26" s="19">
        <f t="shared" si="12"/>
        <v>0.72399999999999998</v>
      </c>
    </row>
    <row r="27" spans="1:21" ht="13.2" x14ac:dyDescent="0.25">
      <c r="A27" s="12">
        <v>22</v>
      </c>
      <c r="B27" s="21" t="s">
        <v>62</v>
      </c>
      <c r="C27" s="13">
        <v>10</v>
      </c>
      <c r="D27" s="13">
        <v>17</v>
      </c>
      <c r="E27" s="13">
        <v>27</v>
      </c>
      <c r="F27" s="14">
        <v>55</v>
      </c>
      <c r="G27" s="15">
        <v>76</v>
      </c>
      <c r="H27" s="11">
        <f t="shared" si="0"/>
        <v>4</v>
      </c>
      <c r="I27" s="11">
        <f t="shared" si="6"/>
        <v>8.5</v>
      </c>
      <c r="J27" s="11">
        <f t="shared" si="13"/>
        <v>6.6</v>
      </c>
      <c r="K27" s="19">
        <f t="shared" si="1"/>
        <v>0.73461538461538467</v>
      </c>
      <c r="L27" s="11">
        <f t="shared" si="2"/>
        <v>3</v>
      </c>
      <c r="M27" s="11">
        <f t="shared" si="7"/>
        <v>4.25</v>
      </c>
      <c r="N27" s="11">
        <f t="shared" si="3"/>
        <v>4.5</v>
      </c>
      <c r="O27" s="11">
        <f t="shared" si="8"/>
        <v>8.8000000000000007</v>
      </c>
      <c r="P27" s="19">
        <f t="shared" si="9"/>
        <v>0.70862068965517244</v>
      </c>
      <c r="Q27" s="11">
        <f t="shared" si="4"/>
        <v>3</v>
      </c>
      <c r="R27" s="11">
        <f t="shared" si="10"/>
        <v>4.25</v>
      </c>
      <c r="S27" s="11">
        <f t="shared" si="5"/>
        <v>22.5</v>
      </c>
      <c r="T27" s="11">
        <f t="shared" si="11"/>
        <v>6.6</v>
      </c>
      <c r="U27" s="19">
        <f t="shared" si="12"/>
        <v>0.80777777777777782</v>
      </c>
    </row>
    <row r="28" spans="1:21" ht="13.2" x14ac:dyDescent="0.25">
      <c r="A28" s="12">
        <v>23</v>
      </c>
      <c r="B28" s="21" t="s">
        <v>63</v>
      </c>
      <c r="C28" s="13">
        <v>10</v>
      </c>
      <c r="D28" s="13">
        <v>14</v>
      </c>
      <c r="E28" s="13">
        <v>21</v>
      </c>
      <c r="F28" s="14">
        <v>43</v>
      </c>
      <c r="G28" s="15">
        <v>62</v>
      </c>
      <c r="H28" s="11">
        <f t="shared" si="0"/>
        <v>4</v>
      </c>
      <c r="I28" s="11">
        <f t="shared" si="6"/>
        <v>7</v>
      </c>
      <c r="J28" s="11">
        <f t="shared" si="13"/>
        <v>5.1599999999999993</v>
      </c>
      <c r="K28" s="19">
        <f t="shared" si="1"/>
        <v>0.6215384615384616</v>
      </c>
      <c r="L28" s="11">
        <f t="shared" si="2"/>
        <v>3</v>
      </c>
      <c r="M28" s="11">
        <f t="shared" si="7"/>
        <v>3.5</v>
      </c>
      <c r="N28" s="11">
        <f t="shared" si="3"/>
        <v>3.5</v>
      </c>
      <c r="O28" s="11">
        <f t="shared" si="8"/>
        <v>6.88</v>
      </c>
      <c r="P28" s="19">
        <f t="shared" si="9"/>
        <v>0.5820689655172413</v>
      </c>
      <c r="Q28" s="11">
        <f t="shared" si="4"/>
        <v>3</v>
      </c>
      <c r="R28" s="11">
        <f t="shared" si="10"/>
        <v>3.5</v>
      </c>
      <c r="S28" s="11">
        <f t="shared" si="5"/>
        <v>17.5</v>
      </c>
      <c r="T28" s="11">
        <f t="shared" si="11"/>
        <v>5.1599999999999993</v>
      </c>
      <c r="U28" s="19">
        <f t="shared" si="12"/>
        <v>0.64800000000000002</v>
      </c>
    </row>
    <row r="29" spans="1:21" ht="13.2" x14ac:dyDescent="0.25">
      <c r="A29" s="12">
        <v>24</v>
      </c>
      <c r="B29" s="21" t="s">
        <v>64</v>
      </c>
      <c r="C29" s="13">
        <v>9</v>
      </c>
      <c r="D29" s="13">
        <v>15</v>
      </c>
      <c r="E29" s="13">
        <v>23</v>
      </c>
      <c r="F29" s="14">
        <v>43</v>
      </c>
      <c r="G29" s="15">
        <v>64</v>
      </c>
      <c r="H29" s="11">
        <f t="shared" si="0"/>
        <v>3.6</v>
      </c>
      <c r="I29" s="11">
        <f t="shared" si="6"/>
        <v>7.5</v>
      </c>
      <c r="J29" s="11">
        <f t="shared" si="13"/>
        <v>5.1599999999999993</v>
      </c>
      <c r="K29" s="19">
        <f t="shared" si="1"/>
        <v>0.62538461538461532</v>
      </c>
      <c r="L29" s="11">
        <f t="shared" si="2"/>
        <v>2.7</v>
      </c>
      <c r="M29" s="11">
        <f t="shared" si="7"/>
        <v>3.75</v>
      </c>
      <c r="N29" s="11">
        <f t="shared" si="3"/>
        <v>3.8333333333333335</v>
      </c>
      <c r="O29" s="11">
        <f t="shared" si="8"/>
        <v>6.88</v>
      </c>
      <c r="P29" s="19">
        <f t="shared" si="9"/>
        <v>0.59183908045977018</v>
      </c>
      <c r="Q29" s="11">
        <f t="shared" si="4"/>
        <v>2.7</v>
      </c>
      <c r="R29" s="11">
        <f t="shared" si="10"/>
        <v>3.75</v>
      </c>
      <c r="S29" s="11">
        <f t="shared" si="5"/>
        <v>19.166666666666668</v>
      </c>
      <c r="T29" s="11">
        <f t="shared" si="11"/>
        <v>5.1599999999999993</v>
      </c>
      <c r="U29" s="19">
        <f t="shared" si="12"/>
        <v>0.68392592592592594</v>
      </c>
    </row>
    <row r="30" spans="1:21" s="39" customFormat="1" ht="13.2" x14ac:dyDescent="0.25">
      <c r="A30" s="32">
        <v>25</v>
      </c>
      <c r="B30" s="21" t="s">
        <v>65</v>
      </c>
      <c r="C30" s="13">
        <v>10</v>
      </c>
      <c r="D30" s="13">
        <v>18</v>
      </c>
      <c r="E30" s="13">
        <v>28</v>
      </c>
      <c r="F30" s="14">
        <v>53</v>
      </c>
      <c r="G30" s="15">
        <v>77</v>
      </c>
      <c r="H30" s="37">
        <f t="shared" si="0"/>
        <v>4</v>
      </c>
      <c r="I30" s="37">
        <f t="shared" si="6"/>
        <v>9</v>
      </c>
      <c r="J30" s="37">
        <f t="shared" si="13"/>
        <v>6.3599999999999994</v>
      </c>
      <c r="K30" s="38">
        <f t="shared" si="1"/>
        <v>0.74461538461538457</v>
      </c>
      <c r="L30" s="37">
        <f t="shared" si="2"/>
        <v>3</v>
      </c>
      <c r="M30" s="37">
        <f t="shared" si="7"/>
        <v>4.5</v>
      </c>
      <c r="N30" s="37">
        <f t="shared" si="3"/>
        <v>4.666666666666667</v>
      </c>
      <c r="O30" s="37">
        <f t="shared" si="8"/>
        <v>8.48</v>
      </c>
      <c r="P30" s="38">
        <f t="shared" si="9"/>
        <v>0.71195402298850585</v>
      </c>
      <c r="Q30" s="37">
        <f t="shared" si="4"/>
        <v>3</v>
      </c>
      <c r="R30" s="37">
        <f t="shared" si="10"/>
        <v>4.5</v>
      </c>
      <c r="S30" s="37">
        <f t="shared" si="5"/>
        <v>23.333333333333332</v>
      </c>
      <c r="T30" s="37">
        <f t="shared" si="11"/>
        <v>6.3599999999999994</v>
      </c>
      <c r="U30" s="38">
        <f t="shared" si="12"/>
        <v>0.82651851851851843</v>
      </c>
    </row>
    <row r="31" spans="1:21" ht="13.2" x14ac:dyDescent="0.25">
      <c r="A31" s="12">
        <v>26</v>
      </c>
      <c r="B31" s="21" t="s">
        <v>66</v>
      </c>
      <c r="C31" s="13">
        <v>10</v>
      </c>
      <c r="D31" s="13">
        <v>17</v>
      </c>
      <c r="E31" s="13">
        <v>23</v>
      </c>
      <c r="F31" s="14">
        <v>52</v>
      </c>
      <c r="G31" s="15">
        <v>70</v>
      </c>
      <c r="H31" s="11">
        <f t="shared" si="0"/>
        <v>4</v>
      </c>
      <c r="I31" s="11">
        <f t="shared" si="6"/>
        <v>8.5</v>
      </c>
      <c r="J31" s="11">
        <f t="shared" si="13"/>
        <v>6.24</v>
      </c>
      <c r="K31" s="19">
        <f t="shared" si="1"/>
        <v>0.72076923076923083</v>
      </c>
      <c r="L31" s="11">
        <f t="shared" si="2"/>
        <v>3</v>
      </c>
      <c r="M31" s="11">
        <f t="shared" si="7"/>
        <v>4.25</v>
      </c>
      <c r="N31" s="11">
        <f t="shared" si="3"/>
        <v>3.8333333333333335</v>
      </c>
      <c r="O31" s="11">
        <f t="shared" si="8"/>
        <v>8.32</v>
      </c>
      <c r="P31" s="19">
        <f t="shared" si="9"/>
        <v>0.66908045977011499</v>
      </c>
      <c r="Q31" s="11">
        <f t="shared" si="4"/>
        <v>3</v>
      </c>
      <c r="R31" s="11">
        <f t="shared" si="10"/>
        <v>4.25</v>
      </c>
      <c r="S31" s="11">
        <f t="shared" si="5"/>
        <v>19.166666666666668</v>
      </c>
      <c r="T31" s="11">
        <f t="shared" si="11"/>
        <v>6.24</v>
      </c>
      <c r="U31" s="19">
        <f t="shared" si="12"/>
        <v>0.72570370370370374</v>
      </c>
    </row>
    <row r="32" spans="1:21" ht="13.2" x14ac:dyDescent="0.25">
      <c r="A32" s="12">
        <v>27</v>
      </c>
      <c r="B32" s="21" t="s">
        <v>67</v>
      </c>
      <c r="C32" s="13">
        <v>10</v>
      </c>
      <c r="D32" s="13">
        <v>20</v>
      </c>
      <c r="E32" s="13">
        <v>30</v>
      </c>
      <c r="F32" s="14">
        <v>77</v>
      </c>
      <c r="G32" s="15">
        <v>90</v>
      </c>
      <c r="H32" s="11">
        <f t="shared" si="0"/>
        <v>4</v>
      </c>
      <c r="I32" s="11">
        <f t="shared" si="6"/>
        <v>10</v>
      </c>
      <c r="J32" s="11">
        <f t="shared" si="13"/>
        <v>9.24</v>
      </c>
      <c r="K32" s="19">
        <f t="shared" si="1"/>
        <v>0.89384615384615396</v>
      </c>
      <c r="L32" s="11">
        <f t="shared" si="2"/>
        <v>3</v>
      </c>
      <c r="M32" s="11">
        <f t="shared" si="7"/>
        <v>5</v>
      </c>
      <c r="N32" s="11">
        <f t="shared" si="3"/>
        <v>5</v>
      </c>
      <c r="O32" s="11">
        <f t="shared" si="8"/>
        <v>12.32</v>
      </c>
      <c r="P32" s="19">
        <f t="shared" si="9"/>
        <v>0.87310344827586206</v>
      </c>
      <c r="Q32" s="11">
        <f t="shared" si="4"/>
        <v>3</v>
      </c>
      <c r="R32" s="11">
        <f t="shared" si="10"/>
        <v>5</v>
      </c>
      <c r="S32" s="11">
        <f t="shared" si="5"/>
        <v>25</v>
      </c>
      <c r="T32" s="11">
        <f t="shared" si="11"/>
        <v>9.24</v>
      </c>
      <c r="U32" s="19">
        <f t="shared" si="12"/>
        <v>0.93866666666666676</v>
      </c>
    </row>
    <row r="33" spans="1:21" ht="13.2" x14ac:dyDescent="0.25">
      <c r="A33" s="12">
        <v>28</v>
      </c>
      <c r="B33" s="21" t="s">
        <v>68</v>
      </c>
      <c r="C33" s="13">
        <v>10</v>
      </c>
      <c r="D33" s="13">
        <v>20</v>
      </c>
      <c r="E33" s="13">
        <v>30</v>
      </c>
      <c r="F33" s="14">
        <v>74</v>
      </c>
      <c r="G33" s="15">
        <v>89</v>
      </c>
      <c r="H33" s="11">
        <f t="shared" si="0"/>
        <v>4</v>
      </c>
      <c r="I33" s="11">
        <f t="shared" si="6"/>
        <v>10</v>
      </c>
      <c r="J33" s="11">
        <f t="shared" si="13"/>
        <v>8.8800000000000008</v>
      </c>
      <c r="K33" s="19">
        <f t="shared" si="1"/>
        <v>0.88000000000000012</v>
      </c>
      <c r="L33" s="11">
        <f t="shared" si="2"/>
        <v>3</v>
      </c>
      <c r="M33" s="11">
        <f t="shared" si="7"/>
        <v>5</v>
      </c>
      <c r="N33" s="11">
        <f t="shared" si="3"/>
        <v>5</v>
      </c>
      <c r="O33" s="11">
        <f t="shared" si="8"/>
        <v>11.84</v>
      </c>
      <c r="P33" s="19">
        <f t="shared" si="9"/>
        <v>0.85655172413793101</v>
      </c>
      <c r="Q33" s="11">
        <f t="shared" si="4"/>
        <v>3</v>
      </c>
      <c r="R33" s="11">
        <f t="shared" si="10"/>
        <v>5</v>
      </c>
      <c r="S33" s="11">
        <f t="shared" si="5"/>
        <v>25</v>
      </c>
      <c r="T33" s="11">
        <f t="shared" si="11"/>
        <v>8.8800000000000008</v>
      </c>
      <c r="U33" s="19">
        <f t="shared" si="12"/>
        <v>0.93066666666666675</v>
      </c>
    </row>
    <row r="34" spans="1:21" ht="13.2" x14ac:dyDescent="0.25">
      <c r="A34" s="12">
        <v>29</v>
      </c>
      <c r="B34" s="21" t="s">
        <v>69</v>
      </c>
      <c r="C34" s="13">
        <v>10</v>
      </c>
      <c r="D34" s="13">
        <v>20</v>
      </c>
      <c r="E34" s="13">
        <v>30</v>
      </c>
      <c r="F34" s="14">
        <v>54</v>
      </c>
      <c r="G34" s="15">
        <v>81</v>
      </c>
      <c r="H34" s="11">
        <f t="shared" si="0"/>
        <v>4</v>
      </c>
      <c r="I34" s="11">
        <f t="shared" si="6"/>
        <v>10</v>
      </c>
      <c r="J34" s="11">
        <f t="shared" si="13"/>
        <v>6.4800000000000013</v>
      </c>
      <c r="K34" s="19">
        <f t="shared" si="1"/>
        <v>0.78769230769230769</v>
      </c>
      <c r="L34" s="11">
        <f t="shared" si="2"/>
        <v>3</v>
      </c>
      <c r="M34" s="11">
        <f t="shared" si="7"/>
        <v>5</v>
      </c>
      <c r="N34" s="11">
        <f t="shared" si="3"/>
        <v>5</v>
      </c>
      <c r="O34" s="11">
        <f t="shared" si="8"/>
        <v>8.64</v>
      </c>
      <c r="P34" s="19">
        <f t="shared" si="9"/>
        <v>0.74620689655172412</v>
      </c>
      <c r="Q34" s="11">
        <f t="shared" si="4"/>
        <v>3</v>
      </c>
      <c r="R34" s="11">
        <f t="shared" si="10"/>
        <v>5</v>
      </c>
      <c r="S34" s="11">
        <f t="shared" si="5"/>
        <v>25</v>
      </c>
      <c r="T34" s="11">
        <f t="shared" si="11"/>
        <v>6.4800000000000013</v>
      </c>
      <c r="U34" s="19">
        <f t="shared" si="12"/>
        <v>0.87733333333333341</v>
      </c>
    </row>
    <row r="35" spans="1:21" ht="13.2" x14ac:dyDescent="0.25">
      <c r="A35" s="12">
        <v>30</v>
      </c>
      <c r="B35" s="21" t="s">
        <v>70</v>
      </c>
      <c r="C35" s="13">
        <v>10</v>
      </c>
      <c r="D35" s="13">
        <v>20</v>
      </c>
      <c r="E35" s="13">
        <v>30</v>
      </c>
      <c r="F35" s="14">
        <v>76</v>
      </c>
      <c r="G35" s="15">
        <v>90</v>
      </c>
      <c r="H35" s="11">
        <f t="shared" si="0"/>
        <v>4</v>
      </c>
      <c r="I35" s="11">
        <f t="shared" si="6"/>
        <v>10</v>
      </c>
      <c r="J35" s="11">
        <f t="shared" si="13"/>
        <v>9.1199999999999992</v>
      </c>
      <c r="K35" s="19">
        <f t="shared" si="1"/>
        <v>0.88923076923076916</v>
      </c>
      <c r="L35" s="11">
        <f t="shared" si="2"/>
        <v>3</v>
      </c>
      <c r="M35" s="11">
        <f t="shared" si="7"/>
        <v>5</v>
      </c>
      <c r="N35" s="11">
        <f t="shared" si="3"/>
        <v>5</v>
      </c>
      <c r="O35" s="11">
        <f t="shared" si="8"/>
        <v>12.16</v>
      </c>
      <c r="P35" s="19">
        <f t="shared" si="9"/>
        <v>0.86758620689655175</v>
      </c>
      <c r="Q35" s="11">
        <f t="shared" si="4"/>
        <v>3</v>
      </c>
      <c r="R35" s="11">
        <f t="shared" si="10"/>
        <v>5</v>
      </c>
      <c r="S35" s="11">
        <f t="shared" si="5"/>
        <v>25</v>
      </c>
      <c r="T35" s="11">
        <f t="shared" si="11"/>
        <v>9.1199999999999992</v>
      </c>
      <c r="U35" s="19">
        <f t="shared" si="12"/>
        <v>0.93599999999999994</v>
      </c>
    </row>
    <row r="36" spans="1:21" ht="13.2" x14ac:dyDescent="0.25">
      <c r="A36" s="12">
        <v>31</v>
      </c>
      <c r="B36" s="21" t="s">
        <v>71</v>
      </c>
      <c r="C36" s="13">
        <v>10</v>
      </c>
      <c r="D36" s="13">
        <v>19</v>
      </c>
      <c r="E36" s="13">
        <v>30</v>
      </c>
      <c r="F36" s="14">
        <v>57</v>
      </c>
      <c r="G36" s="15">
        <v>81</v>
      </c>
      <c r="H36" s="11">
        <f t="shared" si="0"/>
        <v>4</v>
      </c>
      <c r="I36" s="11">
        <f t="shared" si="6"/>
        <v>9.5</v>
      </c>
      <c r="J36" s="11">
        <f t="shared" si="13"/>
        <v>6.8400000000000007</v>
      </c>
      <c r="K36" s="19">
        <f t="shared" si="1"/>
        <v>0.78230769230769226</v>
      </c>
      <c r="L36" s="11">
        <f t="shared" si="2"/>
        <v>3</v>
      </c>
      <c r="M36" s="11">
        <f t="shared" si="7"/>
        <v>4.75</v>
      </c>
      <c r="N36" s="11">
        <f t="shared" si="3"/>
        <v>5</v>
      </c>
      <c r="O36" s="11">
        <f t="shared" si="8"/>
        <v>9.120000000000001</v>
      </c>
      <c r="P36" s="19">
        <f t="shared" si="9"/>
        <v>0.75413793103448279</v>
      </c>
      <c r="Q36" s="11">
        <f t="shared" si="4"/>
        <v>3</v>
      </c>
      <c r="R36" s="11">
        <f t="shared" si="10"/>
        <v>4.75</v>
      </c>
      <c r="S36" s="11">
        <f t="shared" si="5"/>
        <v>25</v>
      </c>
      <c r="T36" s="11">
        <f t="shared" si="11"/>
        <v>6.8400000000000007</v>
      </c>
      <c r="U36" s="19">
        <f t="shared" si="12"/>
        <v>0.87977777777777788</v>
      </c>
    </row>
    <row r="37" spans="1:21" ht="13.2" x14ac:dyDescent="0.25">
      <c r="A37" s="12">
        <v>32</v>
      </c>
      <c r="B37" s="21" t="s">
        <v>72</v>
      </c>
      <c r="C37" s="13">
        <v>10</v>
      </c>
      <c r="D37" s="13">
        <v>14</v>
      </c>
      <c r="E37" s="13">
        <v>20</v>
      </c>
      <c r="F37" s="14">
        <v>47</v>
      </c>
      <c r="G37" s="15">
        <v>62</v>
      </c>
      <c r="H37" s="11">
        <f t="shared" ref="H37:H67" si="14">C37*$H$4/$C$4</f>
        <v>4</v>
      </c>
      <c r="I37" s="11">
        <f t="shared" si="6"/>
        <v>7</v>
      </c>
      <c r="J37" s="11">
        <f t="shared" si="13"/>
        <v>5.6400000000000006</v>
      </c>
      <c r="K37" s="19">
        <f t="shared" ref="K37:K67" si="15">SUM(H37:J37)/$K$4</f>
        <v>0.64</v>
      </c>
      <c r="L37" s="11">
        <f t="shared" ref="L37:L67" si="16">C37*$L$4/$C$4</f>
        <v>3</v>
      </c>
      <c r="M37" s="11">
        <f t="shared" si="7"/>
        <v>3.5</v>
      </c>
      <c r="N37" s="11">
        <f t="shared" ref="N37:N67" si="17">E37*$N$4/$E$4</f>
        <v>3.3333333333333335</v>
      </c>
      <c r="O37" s="11">
        <f t="shared" si="8"/>
        <v>7.5200000000000005</v>
      </c>
      <c r="P37" s="19">
        <f t="shared" si="9"/>
        <v>0.59839080459770122</v>
      </c>
      <c r="Q37" s="11">
        <f t="shared" ref="Q37:Q67" si="18">C37*$Q$4/$C$4</f>
        <v>3</v>
      </c>
      <c r="R37" s="11">
        <f t="shared" si="10"/>
        <v>3.5</v>
      </c>
      <c r="S37" s="11">
        <f t="shared" ref="S37:S67" si="19">E37*$S$4/$E$4</f>
        <v>16.666666666666668</v>
      </c>
      <c r="T37" s="11">
        <f t="shared" si="11"/>
        <v>5.6400000000000006</v>
      </c>
      <c r="U37" s="19">
        <f t="shared" si="12"/>
        <v>0.64014814814814813</v>
      </c>
    </row>
    <row r="38" spans="1:21" ht="13.2" x14ac:dyDescent="0.25">
      <c r="A38" s="12">
        <v>33</v>
      </c>
      <c r="B38" s="21" t="s">
        <v>73</v>
      </c>
      <c r="C38" s="13">
        <v>10</v>
      </c>
      <c r="D38" s="13">
        <v>18</v>
      </c>
      <c r="E38" s="13">
        <v>29</v>
      </c>
      <c r="F38" s="14">
        <v>68</v>
      </c>
      <c r="G38" s="15">
        <v>84</v>
      </c>
      <c r="H38" s="11">
        <f t="shared" si="14"/>
        <v>4</v>
      </c>
      <c r="I38" s="11">
        <f t="shared" ref="I38:I68" si="20">D38*$I$4/$D$4</f>
        <v>9</v>
      </c>
      <c r="J38" s="11">
        <f t="shared" ref="J38:J68" si="21">(F38*$F$4/100)*$J$4/$F$4</f>
        <v>8.16</v>
      </c>
      <c r="K38" s="19">
        <f t="shared" si="15"/>
        <v>0.81384615384615389</v>
      </c>
      <c r="L38" s="11">
        <f t="shared" si="16"/>
        <v>3</v>
      </c>
      <c r="M38" s="11">
        <f t="shared" ref="M38:M68" si="22">D38*$M$4/$D$4</f>
        <v>4.5</v>
      </c>
      <c r="N38" s="11">
        <f t="shared" si="17"/>
        <v>4.833333333333333</v>
      </c>
      <c r="O38" s="11">
        <f t="shared" ref="O38:O68" si="23">(F38*$F$4/100)*$O$4/$F$4</f>
        <v>10.879999999999999</v>
      </c>
      <c r="P38" s="19">
        <f t="shared" ref="P38:P68" si="24">(L38+M38+N38+O38)/$P$4</f>
        <v>0.8004597701149424</v>
      </c>
      <c r="Q38" s="11">
        <f t="shared" si="18"/>
        <v>3</v>
      </c>
      <c r="R38" s="11">
        <f t="shared" ref="R38:R68" si="25">D38*$R$4/$D$4</f>
        <v>4.5</v>
      </c>
      <c r="S38" s="11">
        <f t="shared" si="19"/>
        <v>24.166666666666668</v>
      </c>
      <c r="T38" s="11">
        <f t="shared" ref="T38:T68" si="26">(F38*$F$4/100)*$T$4/$F$4</f>
        <v>8.16</v>
      </c>
      <c r="U38" s="19">
        <f t="shared" ref="U38:U68" si="27">(Q38+R38+S38+T38)/$U$4</f>
        <v>0.88503703703703707</v>
      </c>
    </row>
    <row r="39" spans="1:21" ht="13.2" x14ac:dyDescent="0.25">
      <c r="A39" s="12">
        <v>34</v>
      </c>
      <c r="B39" s="21" t="s">
        <v>74</v>
      </c>
      <c r="C39" s="13">
        <v>10</v>
      </c>
      <c r="D39" s="13">
        <v>20</v>
      </c>
      <c r="E39" s="13">
        <v>30</v>
      </c>
      <c r="F39" s="14">
        <v>67</v>
      </c>
      <c r="G39" s="15">
        <v>86</v>
      </c>
      <c r="H39" s="11">
        <f t="shared" si="14"/>
        <v>4</v>
      </c>
      <c r="I39" s="11">
        <f t="shared" si="20"/>
        <v>10</v>
      </c>
      <c r="J39" s="11">
        <f t="shared" si="21"/>
        <v>8.0400000000000009</v>
      </c>
      <c r="K39" s="19">
        <f t="shared" si="15"/>
        <v>0.84769230769230763</v>
      </c>
      <c r="L39" s="11">
        <f t="shared" si="16"/>
        <v>3</v>
      </c>
      <c r="M39" s="11">
        <f t="shared" si="22"/>
        <v>5</v>
      </c>
      <c r="N39" s="11">
        <f t="shared" si="17"/>
        <v>5</v>
      </c>
      <c r="O39" s="11">
        <f t="shared" si="23"/>
        <v>10.72</v>
      </c>
      <c r="P39" s="19">
        <f t="shared" si="24"/>
        <v>0.81793103448275861</v>
      </c>
      <c r="Q39" s="11">
        <f t="shared" si="18"/>
        <v>3</v>
      </c>
      <c r="R39" s="11">
        <f t="shared" si="25"/>
        <v>5</v>
      </c>
      <c r="S39" s="11">
        <f t="shared" si="19"/>
        <v>25</v>
      </c>
      <c r="T39" s="11">
        <f t="shared" si="26"/>
        <v>8.0400000000000009</v>
      </c>
      <c r="U39" s="19">
        <f t="shared" si="27"/>
        <v>0.91200000000000003</v>
      </c>
    </row>
    <row r="40" spans="1:21" ht="13.2" x14ac:dyDescent="0.25">
      <c r="A40" s="12">
        <v>35</v>
      </c>
      <c r="B40" s="21" t="s">
        <v>75</v>
      </c>
      <c r="C40" s="13">
        <v>8</v>
      </c>
      <c r="D40" s="13">
        <v>20</v>
      </c>
      <c r="E40" s="13">
        <v>27</v>
      </c>
      <c r="F40" s="14">
        <v>64</v>
      </c>
      <c r="G40" s="15">
        <v>80</v>
      </c>
      <c r="H40" s="11">
        <f t="shared" si="14"/>
        <v>3.2</v>
      </c>
      <c r="I40" s="11">
        <f t="shared" si="20"/>
        <v>10</v>
      </c>
      <c r="J40" s="11">
        <f t="shared" si="21"/>
        <v>7.6800000000000015</v>
      </c>
      <c r="K40" s="19">
        <f t="shared" si="15"/>
        <v>0.80307692307692313</v>
      </c>
      <c r="L40" s="11">
        <f t="shared" si="16"/>
        <v>2.4</v>
      </c>
      <c r="M40" s="11">
        <f t="shared" si="22"/>
        <v>5</v>
      </c>
      <c r="N40" s="11">
        <f t="shared" si="17"/>
        <v>4.5</v>
      </c>
      <c r="O40" s="11">
        <f t="shared" si="23"/>
        <v>10.24</v>
      </c>
      <c r="P40" s="19">
        <f t="shared" si="24"/>
        <v>0.76344827586206898</v>
      </c>
      <c r="Q40" s="11">
        <f t="shared" si="18"/>
        <v>2.4</v>
      </c>
      <c r="R40" s="11">
        <f t="shared" si="25"/>
        <v>5</v>
      </c>
      <c r="S40" s="11">
        <f t="shared" si="19"/>
        <v>22.5</v>
      </c>
      <c r="T40" s="11">
        <f t="shared" si="26"/>
        <v>7.6800000000000015</v>
      </c>
      <c r="U40" s="19">
        <f t="shared" si="27"/>
        <v>0.83511111111111103</v>
      </c>
    </row>
    <row r="41" spans="1:21" ht="13.2" x14ac:dyDescent="0.25">
      <c r="A41" s="12">
        <v>36</v>
      </c>
      <c r="B41" s="21" t="s">
        <v>76</v>
      </c>
      <c r="C41" s="13">
        <v>10</v>
      </c>
      <c r="D41" s="13">
        <v>20</v>
      </c>
      <c r="E41" s="13">
        <v>30</v>
      </c>
      <c r="F41" s="14">
        <v>69</v>
      </c>
      <c r="G41" s="15">
        <v>87</v>
      </c>
      <c r="H41" s="11">
        <f t="shared" si="14"/>
        <v>4</v>
      </c>
      <c r="I41" s="11">
        <f t="shared" si="20"/>
        <v>10</v>
      </c>
      <c r="J41" s="11">
        <f t="shared" si="21"/>
        <v>8.2800000000000011</v>
      </c>
      <c r="K41" s="19">
        <f t="shared" si="15"/>
        <v>0.85692307692307701</v>
      </c>
      <c r="L41" s="11">
        <f t="shared" si="16"/>
        <v>3</v>
      </c>
      <c r="M41" s="11">
        <f t="shared" si="22"/>
        <v>5</v>
      </c>
      <c r="N41" s="11">
        <f t="shared" si="17"/>
        <v>5</v>
      </c>
      <c r="O41" s="11">
        <f t="shared" si="23"/>
        <v>11.040000000000001</v>
      </c>
      <c r="P41" s="19">
        <f t="shared" si="24"/>
        <v>0.82896551724137924</v>
      </c>
      <c r="Q41" s="11">
        <f t="shared" si="18"/>
        <v>3</v>
      </c>
      <c r="R41" s="11">
        <f t="shared" si="25"/>
        <v>5</v>
      </c>
      <c r="S41" s="11">
        <f t="shared" si="19"/>
        <v>25</v>
      </c>
      <c r="T41" s="11">
        <f t="shared" si="26"/>
        <v>8.2800000000000011</v>
      </c>
      <c r="U41" s="19">
        <f t="shared" si="27"/>
        <v>0.91733333333333333</v>
      </c>
    </row>
    <row r="42" spans="1:21" ht="13.2" x14ac:dyDescent="0.25">
      <c r="A42" s="12">
        <v>37</v>
      </c>
      <c r="B42" s="21" t="s">
        <v>77</v>
      </c>
      <c r="C42" s="13">
        <v>8</v>
      </c>
      <c r="D42" s="13">
        <v>20</v>
      </c>
      <c r="E42" s="13">
        <v>30</v>
      </c>
      <c r="F42" s="14">
        <v>68</v>
      </c>
      <c r="G42" s="15">
        <v>85</v>
      </c>
      <c r="H42" s="11">
        <f t="shared" si="14"/>
        <v>3.2</v>
      </c>
      <c r="I42" s="11">
        <f t="shared" si="20"/>
        <v>10</v>
      </c>
      <c r="J42" s="11">
        <f t="shared" si="21"/>
        <v>8.16</v>
      </c>
      <c r="K42" s="19">
        <f t="shared" si="15"/>
        <v>0.82153846153846155</v>
      </c>
      <c r="L42" s="11">
        <f t="shared" si="16"/>
        <v>2.4</v>
      </c>
      <c r="M42" s="11">
        <f t="shared" si="22"/>
        <v>5</v>
      </c>
      <c r="N42" s="11">
        <f t="shared" si="17"/>
        <v>5</v>
      </c>
      <c r="O42" s="11">
        <f t="shared" si="23"/>
        <v>10.879999999999999</v>
      </c>
      <c r="P42" s="19">
        <f t="shared" si="24"/>
        <v>0.8027586206896552</v>
      </c>
      <c r="Q42" s="11">
        <f t="shared" si="18"/>
        <v>2.4</v>
      </c>
      <c r="R42" s="11">
        <f t="shared" si="25"/>
        <v>5</v>
      </c>
      <c r="S42" s="11">
        <f t="shared" si="19"/>
        <v>25</v>
      </c>
      <c r="T42" s="11">
        <f t="shared" si="26"/>
        <v>8.16</v>
      </c>
      <c r="U42" s="19">
        <f t="shared" si="27"/>
        <v>0.90133333333333343</v>
      </c>
    </row>
    <row r="43" spans="1:21" ht="13.2" x14ac:dyDescent="0.25">
      <c r="A43" s="12">
        <v>38</v>
      </c>
      <c r="B43" s="21" t="s">
        <v>78</v>
      </c>
      <c r="C43" s="13">
        <v>10</v>
      </c>
      <c r="D43" s="13">
        <v>16</v>
      </c>
      <c r="E43" s="13">
        <v>22</v>
      </c>
      <c r="F43" s="14">
        <v>36</v>
      </c>
      <c r="G43" s="15">
        <v>62</v>
      </c>
      <c r="H43" s="11">
        <f t="shared" si="14"/>
        <v>4</v>
      </c>
      <c r="I43" s="11">
        <f t="shared" si="20"/>
        <v>8</v>
      </c>
      <c r="J43" s="11">
        <f t="shared" si="21"/>
        <v>4.32</v>
      </c>
      <c r="K43" s="19">
        <f t="shared" si="15"/>
        <v>0.62769230769230766</v>
      </c>
      <c r="L43" s="11">
        <f t="shared" si="16"/>
        <v>3</v>
      </c>
      <c r="M43" s="11">
        <f t="shared" si="22"/>
        <v>4</v>
      </c>
      <c r="N43" s="11">
        <f t="shared" si="17"/>
        <v>3.6666666666666665</v>
      </c>
      <c r="O43" s="11">
        <f t="shared" si="23"/>
        <v>5.76</v>
      </c>
      <c r="P43" s="19">
        <f t="shared" si="24"/>
        <v>0.56643678160919542</v>
      </c>
      <c r="Q43" s="11">
        <f t="shared" si="18"/>
        <v>3</v>
      </c>
      <c r="R43" s="11">
        <f t="shared" si="25"/>
        <v>4</v>
      </c>
      <c r="S43" s="11">
        <f t="shared" si="19"/>
        <v>18.333333333333332</v>
      </c>
      <c r="T43" s="11">
        <f t="shared" si="26"/>
        <v>4.32</v>
      </c>
      <c r="U43" s="19">
        <f t="shared" si="27"/>
        <v>0.65896296296296297</v>
      </c>
    </row>
    <row r="44" spans="1:21" ht="13.2" x14ac:dyDescent="0.25">
      <c r="A44" s="12">
        <v>39</v>
      </c>
      <c r="B44" s="21" t="s">
        <v>79</v>
      </c>
      <c r="C44" s="13">
        <v>9</v>
      </c>
      <c r="D44" s="13">
        <v>18</v>
      </c>
      <c r="E44" s="13">
        <v>25</v>
      </c>
      <c r="F44" s="14">
        <v>51</v>
      </c>
      <c r="G44" s="15">
        <v>72</v>
      </c>
      <c r="H44" s="11">
        <f t="shared" si="14"/>
        <v>3.6</v>
      </c>
      <c r="I44" s="11">
        <f t="shared" si="20"/>
        <v>9</v>
      </c>
      <c r="J44" s="11">
        <f t="shared" si="21"/>
        <v>6.1199999999999992</v>
      </c>
      <c r="K44" s="19">
        <f t="shared" si="15"/>
        <v>0.72</v>
      </c>
      <c r="L44" s="11">
        <f t="shared" si="16"/>
        <v>2.7</v>
      </c>
      <c r="M44" s="11">
        <f t="shared" si="22"/>
        <v>4.5</v>
      </c>
      <c r="N44" s="11">
        <f t="shared" si="17"/>
        <v>4.166666666666667</v>
      </c>
      <c r="O44" s="11">
        <f t="shared" si="23"/>
        <v>8.16</v>
      </c>
      <c r="P44" s="19">
        <f t="shared" si="24"/>
        <v>0.67333333333333334</v>
      </c>
      <c r="Q44" s="11">
        <f t="shared" si="18"/>
        <v>2.7</v>
      </c>
      <c r="R44" s="11">
        <f t="shared" si="25"/>
        <v>4.5</v>
      </c>
      <c r="S44" s="11">
        <f t="shared" si="19"/>
        <v>20.833333333333332</v>
      </c>
      <c r="T44" s="11">
        <f t="shared" si="26"/>
        <v>6.1199999999999992</v>
      </c>
      <c r="U44" s="19">
        <f t="shared" si="27"/>
        <v>0.75896296296296284</v>
      </c>
    </row>
    <row r="45" spans="1:21" ht="13.2" x14ac:dyDescent="0.25">
      <c r="A45" s="12">
        <v>40</v>
      </c>
      <c r="B45" s="21" t="s">
        <v>80</v>
      </c>
      <c r="C45" s="13">
        <v>10</v>
      </c>
      <c r="D45" s="13">
        <v>20</v>
      </c>
      <c r="E45" s="13">
        <v>29</v>
      </c>
      <c r="F45" s="14">
        <v>53</v>
      </c>
      <c r="G45" s="15">
        <v>80</v>
      </c>
      <c r="H45" s="11">
        <f t="shared" si="14"/>
        <v>4</v>
      </c>
      <c r="I45" s="11">
        <f t="shared" si="20"/>
        <v>10</v>
      </c>
      <c r="J45" s="11">
        <f t="shared" si="21"/>
        <v>6.3599999999999994</v>
      </c>
      <c r="K45" s="19">
        <f t="shared" si="15"/>
        <v>0.783076923076923</v>
      </c>
      <c r="L45" s="11">
        <f t="shared" si="16"/>
        <v>3</v>
      </c>
      <c r="M45" s="11">
        <f t="shared" si="22"/>
        <v>5</v>
      </c>
      <c r="N45" s="11">
        <f t="shared" si="17"/>
        <v>4.833333333333333</v>
      </c>
      <c r="O45" s="11">
        <f t="shared" si="23"/>
        <v>8.48</v>
      </c>
      <c r="P45" s="19">
        <f t="shared" si="24"/>
        <v>0.73494252873563215</v>
      </c>
      <c r="Q45" s="11">
        <f t="shared" si="18"/>
        <v>3</v>
      </c>
      <c r="R45" s="11">
        <f t="shared" si="25"/>
        <v>5</v>
      </c>
      <c r="S45" s="11">
        <f t="shared" si="19"/>
        <v>24.166666666666668</v>
      </c>
      <c r="T45" s="11">
        <f t="shared" si="26"/>
        <v>6.3599999999999994</v>
      </c>
      <c r="U45" s="19">
        <f t="shared" si="27"/>
        <v>0.85614814814814821</v>
      </c>
    </row>
    <row r="46" spans="1:21" ht="13.2" x14ac:dyDescent="0.25">
      <c r="A46" s="12">
        <v>41</v>
      </c>
      <c r="B46" s="21" t="s">
        <v>81</v>
      </c>
      <c r="C46" s="13">
        <v>10</v>
      </c>
      <c r="D46" s="13">
        <v>20</v>
      </c>
      <c r="E46" s="13">
        <v>30</v>
      </c>
      <c r="F46" s="14">
        <v>77</v>
      </c>
      <c r="G46" s="15">
        <v>90</v>
      </c>
      <c r="H46" s="11">
        <f t="shared" si="14"/>
        <v>4</v>
      </c>
      <c r="I46" s="11">
        <f t="shared" si="20"/>
        <v>10</v>
      </c>
      <c r="J46" s="11">
        <f t="shared" si="21"/>
        <v>9.24</v>
      </c>
      <c r="K46" s="19">
        <f t="shared" si="15"/>
        <v>0.89384615384615396</v>
      </c>
      <c r="L46" s="11">
        <f t="shared" si="16"/>
        <v>3</v>
      </c>
      <c r="M46" s="11">
        <f t="shared" si="22"/>
        <v>5</v>
      </c>
      <c r="N46" s="11">
        <f t="shared" si="17"/>
        <v>5</v>
      </c>
      <c r="O46" s="11">
        <f t="shared" si="23"/>
        <v>12.32</v>
      </c>
      <c r="P46" s="19">
        <f t="shared" si="24"/>
        <v>0.87310344827586206</v>
      </c>
      <c r="Q46" s="11">
        <f t="shared" si="18"/>
        <v>3</v>
      </c>
      <c r="R46" s="11">
        <f t="shared" si="25"/>
        <v>5</v>
      </c>
      <c r="S46" s="11">
        <f t="shared" si="19"/>
        <v>25</v>
      </c>
      <c r="T46" s="11">
        <f t="shared" si="26"/>
        <v>9.24</v>
      </c>
      <c r="U46" s="19">
        <f t="shared" si="27"/>
        <v>0.93866666666666676</v>
      </c>
    </row>
    <row r="47" spans="1:21" ht="13.2" x14ac:dyDescent="0.25">
      <c r="A47" s="12">
        <v>42</v>
      </c>
      <c r="B47" s="21" t="s">
        <v>82</v>
      </c>
      <c r="C47" s="13">
        <v>10</v>
      </c>
      <c r="D47" s="13">
        <v>20</v>
      </c>
      <c r="E47" s="13">
        <v>30</v>
      </c>
      <c r="F47" s="14">
        <v>83</v>
      </c>
      <c r="G47" s="15">
        <v>93</v>
      </c>
      <c r="H47" s="11">
        <f t="shared" si="14"/>
        <v>4</v>
      </c>
      <c r="I47" s="11">
        <f t="shared" si="20"/>
        <v>10</v>
      </c>
      <c r="J47" s="11">
        <f t="shared" si="21"/>
        <v>9.9600000000000009</v>
      </c>
      <c r="K47" s="19">
        <f t="shared" si="15"/>
        <v>0.92153846153846153</v>
      </c>
      <c r="L47" s="11">
        <f t="shared" si="16"/>
        <v>3</v>
      </c>
      <c r="M47" s="11">
        <f t="shared" si="22"/>
        <v>5</v>
      </c>
      <c r="N47" s="11">
        <f t="shared" si="17"/>
        <v>5</v>
      </c>
      <c r="O47" s="11">
        <f t="shared" si="23"/>
        <v>13.280000000000001</v>
      </c>
      <c r="P47" s="19">
        <f t="shared" si="24"/>
        <v>0.90620689655172415</v>
      </c>
      <c r="Q47" s="11">
        <f t="shared" si="18"/>
        <v>3</v>
      </c>
      <c r="R47" s="11">
        <f t="shared" si="25"/>
        <v>5</v>
      </c>
      <c r="S47" s="11">
        <f t="shared" si="19"/>
        <v>25</v>
      </c>
      <c r="T47" s="11">
        <f t="shared" si="26"/>
        <v>9.9600000000000009</v>
      </c>
      <c r="U47" s="19">
        <f t="shared" si="27"/>
        <v>0.95466666666666666</v>
      </c>
    </row>
    <row r="48" spans="1:21" ht="13.2" x14ac:dyDescent="0.25">
      <c r="A48" s="12">
        <v>43</v>
      </c>
      <c r="B48" s="21" t="s">
        <v>83</v>
      </c>
      <c r="C48" s="13">
        <v>10</v>
      </c>
      <c r="D48" s="13">
        <v>20</v>
      </c>
      <c r="E48" s="13">
        <v>30</v>
      </c>
      <c r="F48" s="14">
        <v>71</v>
      </c>
      <c r="G48" s="15">
        <v>88</v>
      </c>
      <c r="H48" s="11">
        <f t="shared" si="14"/>
        <v>4</v>
      </c>
      <c r="I48" s="11">
        <f t="shared" si="20"/>
        <v>10</v>
      </c>
      <c r="J48" s="11">
        <f t="shared" si="21"/>
        <v>8.52</v>
      </c>
      <c r="K48" s="19">
        <f t="shared" si="15"/>
        <v>0.86615384615384616</v>
      </c>
      <c r="L48" s="11">
        <f t="shared" si="16"/>
        <v>3</v>
      </c>
      <c r="M48" s="11">
        <f t="shared" si="22"/>
        <v>5</v>
      </c>
      <c r="N48" s="11">
        <f t="shared" si="17"/>
        <v>5</v>
      </c>
      <c r="O48" s="11">
        <f t="shared" si="23"/>
        <v>11.36</v>
      </c>
      <c r="P48" s="19">
        <f t="shared" si="24"/>
        <v>0.84</v>
      </c>
      <c r="Q48" s="11">
        <f t="shared" si="18"/>
        <v>3</v>
      </c>
      <c r="R48" s="11">
        <f t="shared" si="25"/>
        <v>5</v>
      </c>
      <c r="S48" s="11">
        <f t="shared" si="19"/>
        <v>25</v>
      </c>
      <c r="T48" s="11">
        <f t="shared" si="26"/>
        <v>8.52</v>
      </c>
      <c r="U48" s="19">
        <f t="shared" si="27"/>
        <v>0.92266666666666652</v>
      </c>
    </row>
    <row r="49" spans="1:21" ht="13.2" x14ac:dyDescent="0.25">
      <c r="A49" s="12">
        <v>44</v>
      </c>
      <c r="B49" s="21" t="s">
        <v>84</v>
      </c>
      <c r="C49" s="13">
        <v>10</v>
      </c>
      <c r="D49" s="13">
        <v>15</v>
      </c>
      <c r="E49" s="13">
        <v>20</v>
      </c>
      <c r="F49" s="14">
        <v>41</v>
      </c>
      <c r="G49" s="15">
        <v>61</v>
      </c>
      <c r="H49" s="11">
        <f t="shared" si="14"/>
        <v>4</v>
      </c>
      <c r="I49" s="11">
        <f t="shared" si="20"/>
        <v>7.5</v>
      </c>
      <c r="J49" s="11">
        <f t="shared" si="21"/>
        <v>4.92</v>
      </c>
      <c r="K49" s="19">
        <f t="shared" si="15"/>
        <v>0.6315384615384616</v>
      </c>
      <c r="L49" s="11">
        <f t="shared" si="16"/>
        <v>3</v>
      </c>
      <c r="M49" s="11">
        <f t="shared" si="22"/>
        <v>3.75</v>
      </c>
      <c r="N49" s="11">
        <f t="shared" si="17"/>
        <v>3.3333333333333335</v>
      </c>
      <c r="O49" s="11">
        <f t="shared" si="23"/>
        <v>6.56</v>
      </c>
      <c r="P49" s="19">
        <f t="shared" si="24"/>
        <v>0.57390804597701151</v>
      </c>
      <c r="Q49" s="11">
        <f t="shared" si="18"/>
        <v>3</v>
      </c>
      <c r="R49" s="11">
        <f t="shared" si="25"/>
        <v>3.75</v>
      </c>
      <c r="S49" s="11">
        <f t="shared" si="19"/>
        <v>16.666666666666668</v>
      </c>
      <c r="T49" s="11">
        <f t="shared" si="26"/>
        <v>4.92</v>
      </c>
      <c r="U49" s="19">
        <f t="shared" si="27"/>
        <v>0.62970370370370365</v>
      </c>
    </row>
    <row r="50" spans="1:21" ht="13.2" x14ac:dyDescent="0.25">
      <c r="A50" s="12">
        <v>45</v>
      </c>
      <c r="B50" s="21" t="s">
        <v>85</v>
      </c>
      <c r="C50" s="13">
        <v>10</v>
      </c>
      <c r="D50" s="13">
        <v>20</v>
      </c>
      <c r="E50" s="13">
        <v>30</v>
      </c>
      <c r="F50" s="14">
        <v>79</v>
      </c>
      <c r="G50" s="15">
        <v>91</v>
      </c>
      <c r="H50" s="11">
        <f t="shared" si="14"/>
        <v>4</v>
      </c>
      <c r="I50" s="11">
        <f t="shared" si="20"/>
        <v>10</v>
      </c>
      <c r="J50" s="11">
        <f t="shared" si="21"/>
        <v>9.48</v>
      </c>
      <c r="K50" s="19">
        <f t="shared" si="15"/>
        <v>0.90307692307692311</v>
      </c>
      <c r="L50" s="11">
        <f t="shared" si="16"/>
        <v>3</v>
      </c>
      <c r="M50" s="11">
        <f t="shared" si="22"/>
        <v>5</v>
      </c>
      <c r="N50" s="11">
        <f t="shared" si="17"/>
        <v>5</v>
      </c>
      <c r="O50" s="11">
        <f t="shared" si="23"/>
        <v>12.64</v>
      </c>
      <c r="P50" s="19">
        <f t="shared" si="24"/>
        <v>0.88413793103448279</v>
      </c>
      <c r="Q50" s="11">
        <f t="shared" si="18"/>
        <v>3</v>
      </c>
      <c r="R50" s="11">
        <f t="shared" si="25"/>
        <v>5</v>
      </c>
      <c r="S50" s="11">
        <f t="shared" si="19"/>
        <v>25</v>
      </c>
      <c r="T50" s="11">
        <f t="shared" si="26"/>
        <v>9.48</v>
      </c>
      <c r="U50" s="19">
        <f t="shared" si="27"/>
        <v>0.94400000000000006</v>
      </c>
    </row>
    <row r="51" spans="1:21" ht="13.2" x14ac:dyDescent="0.25">
      <c r="A51" s="12">
        <v>46</v>
      </c>
      <c r="B51" s="21" t="s">
        <v>86</v>
      </c>
      <c r="C51" s="13">
        <v>10</v>
      </c>
      <c r="D51" s="13">
        <v>17</v>
      </c>
      <c r="E51" s="13">
        <v>24</v>
      </c>
      <c r="F51" s="14">
        <v>50</v>
      </c>
      <c r="G51" s="15">
        <v>71</v>
      </c>
      <c r="H51" s="11">
        <f t="shared" si="14"/>
        <v>4</v>
      </c>
      <c r="I51" s="11">
        <f t="shared" si="20"/>
        <v>8.5</v>
      </c>
      <c r="J51" s="11">
        <f t="shared" si="21"/>
        <v>6</v>
      </c>
      <c r="K51" s="19">
        <f t="shared" si="15"/>
        <v>0.71153846153846156</v>
      </c>
      <c r="L51" s="11">
        <f t="shared" si="16"/>
        <v>3</v>
      </c>
      <c r="M51" s="11">
        <f t="shared" si="22"/>
        <v>4.25</v>
      </c>
      <c r="N51" s="11">
        <f t="shared" si="17"/>
        <v>4</v>
      </c>
      <c r="O51" s="11">
        <f t="shared" si="23"/>
        <v>8</v>
      </c>
      <c r="P51" s="19">
        <f t="shared" si="24"/>
        <v>0.66379310344827591</v>
      </c>
      <c r="Q51" s="11">
        <f t="shared" si="18"/>
        <v>3</v>
      </c>
      <c r="R51" s="11">
        <f t="shared" si="25"/>
        <v>4.25</v>
      </c>
      <c r="S51" s="11">
        <f t="shared" si="19"/>
        <v>20</v>
      </c>
      <c r="T51" s="11">
        <f t="shared" si="26"/>
        <v>6</v>
      </c>
      <c r="U51" s="19">
        <f t="shared" si="27"/>
        <v>0.73888888888888893</v>
      </c>
    </row>
    <row r="52" spans="1:21" ht="13.2" x14ac:dyDescent="0.25">
      <c r="A52" s="12">
        <v>47</v>
      </c>
      <c r="B52" s="21" t="s">
        <v>87</v>
      </c>
      <c r="C52" s="13">
        <v>10</v>
      </c>
      <c r="D52" s="13">
        <v>19</v>
      </c>
      <c r="E52" s="13">
        <v>27</v>
      </c>
      <c r="F52" s="14">
        <v>42</v>
      </c>
      <c r="G52" s="15">
        <v>72</v>
      </c>
      <c r="H52" s="11">
        <f t="shared" si="14"/>
        <v>4</v>
      </c>
      <c r="I52" s="11">
        <f t="shared" si="20"/>
        <v>9.5</v>
      </c>
      <c r="J52" s="11">
        <f t="shared" si="21"/>
        <v>5.0400000000000009</v>
      </c>
      <c r="K52" s="19">
        <f t="shared" si="15"/>
        <v>0.71307692307692305</v>
      </c>
      <c r="L52" s="11">
        <f t="shared" si="16"/>
        <v>3</v>
      </c>
      <c r="M52" s="11">
        <f t="shared" si="22"/>
        <v>4.75</v>
      </c>
      <c r="N52" s="11">
        <f t="shared" si="17"/>
        <v>4.5</v>
      </c>
      <c r="O52" s="11">
        <f t="shared" si="23"/>
        <v>6.7200000000000006</v>
      </c>
      <c r="P52" s="19">
        <f t="shared" si="24"/>
        <v>0.6541379310344827</v>
      </c>
      <c r="Q52" s="11">
        <f t="shared" si="18"/>
        <v>3</v>
      </c>
      <c r="R52" s="11">
        <f t="shared" si="25"/>
        <v>4.75</v>
      </c>
      <c r="S52" s="11">
        <f t="shared" si="19"/>
        <v>22.5</v>
      </c>
      <c r="T52" s="11">
        <f t="shared" si="26"/>
        <v>5.0400000000000009</v>
      </c>
      <c r="U52" s="19">
        <f t="shared" si="27"/>
        <v>0.78422222222222215</v>
      </c>
    </row>
    <row r="53" spans="1:21" ht="13.2" x14ac:dyDescent="0.25">
      <c r="A53" s="12">
        <v>48</v>
      </c>
      <c r="B53" s="21" t="s">
        <v>88</v>
      </c>
      <c r="C53" s="13">
        <v>10</v>
      </c>
      <c r="D53" s="13">
        <v>11</v>
      </c>
      <c r="E53" s="13">
        <v>10</v>
      </c>
      <c r="F53" s="14">
        <v>28</v>
      </c>
      <c r="G53" s="15">
        <v>42</v>
      </c>
      <c r="H53" s="11">
        <f t="shared" si="14"/>
        <v>4</v>
      </c>
      <c r="I53" s="11">
        <f t="shared" si="20"/>
        <v>5.5</v>
      </c>
      <c r="J53" s="11">
        <f t="shared" si="21"/>
        <v>3.3599999999999994</v>
      </c>
      <c r="K53" s="19">
        <f t="shared" si="15"/>
        <v>0.49461538461538457</v>
      </c>
      <c r="L53" s="11">
        <f t="shared" si="16"/>
        <v>3</v>
      </c>
      <c r="M53" s="11">
        <f t="shared" si="22"/>
        <v>2.75</v>
      </c>
      <c r="N53" s="11">
        <f t="shared" si="17"/>
        <v>1.6666666666666667</v>
      </c>
      <c r="O53" s="11">
        <f t="shared" si="23"/>
        <v>4.4799999999999995</v>
      </c>
      <c r="P53" s="19">
        <f t="shared" si="24"/>
        <v>0.41022988505747127</v>
      </c>
      <c r="Q53" s="11">
        <f t="shared" si="18"/>
        <v>3</v>
      </c>
      <c r="R53" s="11">
        <f t="shared" si="25"/>
        <v>2.75</v>
      </c>
      <c r="S53" s="11">
        <f t="shared" si="19"/>
        <v>8.3333333333333339</v>
      </c>
      <c r="T53" s="11">
        <f t="shared" si="26"/>
        <v>3.3599999999999994</v>
      </c>
      <c r="U53" s="19">
        <f t="shared" si="27"/>
        <v>0.38762962962962966</v>
      </c>
    </row>
    <row r="54" spans="1:21" ht="13.2" x14ac:dyDescent="0.25">
      <c r="A54" s="12">
        <v>49</v>
      </c>
      <c r="B54" s="21" t="s">
        <v>89</v>
      </c>
      <c r="C54" s="13">
        <v>10</v>
      </c>
      <c r="D54" s="13">
        <v>20</v>
      </c>
      <c r="E54" s="13">
        <v>30</v>
      </c>
      <c r="F54" s="14">
        <v>87</v>
      </c>
      <c r="G54" s="15">
        <v>94</v>
      </c>
      <c r="H54" s="11">
        <f t="shared" si="14"/>
        <v>4</v>
      </c>
      <c r="I54" s="11">
        <f t="shared" si="20"/>
        <v>10</v>
      </c>
      <c r="J54" s="11">
        <f t="shared" si="21"/>
        <v>10.44</v>
      </c>
      <c r="K54" s="19">
        <f t="shared" si="15"/>
        <v>0.94</v>
      </c>
      <c r="L54" s="11">
        <f t="shared" si="16"/>
        <v>3</v>
      </c>
      <c r="M54" s="11">
        <f t="shared" si="22"/>
        <v>5</v>
      </c>
      <c r="N54" s="11">
        <f t="shared" si="17"/>
        <v>5</v>
      </c>
      <c r="O54" s="11">
        <f t="shared" si="23"/>
        <v>13.919999999999998</v>
      </c>
      <c r="P54" s="19">
        <f t="shared" si="24"/>
        <v>0.92827586206896551</v>
      </c>
      <c r="Q54" s="11">
        <f t="shared" si="18"/>
        <v>3</v>
      </c>
      <c r="R54" s="11">
        <f t="shared" si="25"/>
        <v>5</v>
      </c>
      <c r="S54" s="11">
        <f t="shared" si="19"/>
        <v>25</v>
      </c>
      <c r="T54" s="11">
        <f t="shared" si="26"/>
        <v>10.44</v>
      </c>
      <c r="U54" s="19">
        <f t="shared" si="27"/>
        <v>0.96533333333333327</v>
      </c>
    </row>
    <row r="55" spans="1:21" ht="13.2" x14ac:dyDescent="0.25">
      <c r="A55" s="12">
        <v>50</v>
      </c>
      <c r="B55" s="21" t="s">
        <v>90</v>
      </c>
      <c r="C55" s="13">
        <v>10</v>
      </c>
      <c r="D55" s="13">
        <v>20</v>
      </c>
      <c r="E55" s="13">
        <v>30</v>
      </c>
      <c r="F55" s="14">
        <v>58</v>
      </c>
      <c r="G55" s="15">
        <v>83</v>
      </c>
      <c r="H55" s="11">
        <f t="shared" si="14"/>
        <v>4</v>
      </c>
      <c r="I55" s="11">
        <f t="shared" si="20"/>
        <v>10</v>
      </c>
      <c r="J55" s="11">
        <f t="shared" si="21"/>
        <v>6.9599999999999991</v>
      </c>
      <c r="K55" s="19">
        <f t="shared" si="15"/>
        <v>0.80615384615384622</v>
      </c>
      <c r="L55" s="11">
        <f t="shared" si="16"/>
        <v>3</v>
      </c>
      <c r="M55" s="11">
        <f t="shared" si="22"/>
        <v>5</v>
      </c>
      <c r="N55" s="11">
        <f t="shared" si="17"/>
        <v>5</v>
      </c>
      <c r="O55" s="11">
        <f t="shared" si="23"/>
        <v>9.2799999999999994</v>
      </c>
      <c r="P55" s="19">
        <f t="shared" si="24"/>
        <v>0.76827586206896559</v>
      </c>
      <c r="Q55" s="11">
        <f t="shared" si="18"/>
        <v>3</v>
      </c>
      <c r="R55" s="11">
        <f t="shared" si="25"/>
        <v>5</v>
      </c>
      <c r="S55" s="11">
        <f t="shared" si="19"/>
        <v>25</v>
      </c>
      <c r="T55" s="11">
        <f t="shared" si="26"/>
        <v>6.9599999999999991</v>
      </c>
      <c r="U55" s="19">
        <f t="shared" si="27"/>
        <v>0.88800000000000001</v>
      </c>
    </row>
    <row r="56" spans="1:21" ht="13.2" x14ac:dyDescent="0.25">
      <c r="A56" s="12">
        <v>51</v>
      </c>
      <c r="B56" s="21" t="s">
        <v>91</v>
      </c>
      <c r="C56" s="13">
        <v>10</v>
      </c>
      <c r="D56" s="13">
        <v>20</v>
      </c>
      <c r="E56" s="13">
        <v>30</v>
      </c>
      <c r="F56" s="14">
        <v>58</v>
      </c>
      <c r="G56" s="15">
        <v>83</v>
      </c>
      <c r="H56" s="37">
        <f t="shared" si="14"/>
        <v>4</v>
      </c>
      <c r="I56" s="37">
        <f t="shared" si="20"/>
        <v>10</v>
      </c>
      <c r="J56" s="37">
        <f t="shared" si="21"/>
        <v>6.9599999999999991</v>
      </c>
      <c r="K56" s="38">
        <f t="shared" si="15"/>
        <v>0.80615384615384622</v>
      </c>
      <c r="L56" s="37">
        <f t="shared" si="16"/>
        <v>3</v>
      </c>
      <c r="M56" s="37">
        <f t="shared" si="22"/>
        <v>5</v>
      </c>
      <c r="N56" s="37">
        <f t="shared" si="17"/>
        <v>5</v>
      </c>
      <c r="O56" s="37">
        <f t="shared" si="23"/>
        <v>9.2799999999999994</v>
      </c>
      <c r="P56" s="38">
        <f t="shared" si="24"/>
        <v>0.76827586206896559</v>
      </c>
      <c r="Q56" s="37">
        <f t="shared" si="18"/>
        <v>3</v>
      </c>
      <c r="R56" s="37">
        <f t="shared" si="25"/>
        <v>5</v>
      </c>
      <c r="S56" s="37">
        <f t="shared" si="19"/>
        <v>25</v>
      </c>
      <c r="T56" s="37">
        <f t="shared" si="26"/>
        <v>6.9599999999999991</v>
      </c>
      <c r="U56" s="38">
        <f t="shared" si="27"/>
        <v>0.88800000000000001</v>
      </c>
    </row>
    <row r="57" spans="1:21" s="39" customFormat="1" ht="13.2" x14ac:dyDescent="0.25">
      <c r="A57" s="12">
        <v>52</v>
      </c>
      <c r="B57" s="21" t="s">
        <v>92</v>
      </c>
      <c r="C57" s="13">
        <v>10</v>
      </c>
      <c r="D57" s="13">
        <v>14</v>
      </c>
      <c r="E57" s="13">
        <v>24</v>
      </c>
      <c r="F57" s="14">
        <v>49</v>
      </c>
      <c r="G57" s="15">
        <v>67</v>
      </c>
      <c r="H57" s="11">
        <f t="shared" si="14"/>
        <v>4</v>
      </c>
      <c r="I57" s="11">
        <f t="shared" si="20"/>
        <v>7</v>
      </c>
      <c r="J57" s="11">
        <f t="shared" si="21"/>
        <v>5.8800000000000008</v>
      </c>
      <c r="K57" s="19">
        <f t="shared" si="15"/>
        <v>0.64923076923076928</v>
      </c>
      <c r="L57" s="11">
        <f t="shared" si="16"/>
        <v>3</v>
      </c>
      <c r="M57" s="11">
        <f t="shared" si="22"/>
        <v>3.5</v>
      </c>
      <c r="N57" s="11">
        <f t="shared" si="17"/>
        <v>4</v>
      </c>
      <c r="O57" s="11">
        <f t="shared" si="23"/>
        <v>7.8400000000000007</v>
      </c>
      <c r="P57" s="19">
        <f t="shared" si="24"/>
        <v>0.63241379310344825</v>
      </c>
      <c r="Q57" s="11">
        <f t="shared" si="18"/>
        <v>3</v>
      </c>
      <c r="R57" s="11">
        <f t="shared" si="25"/>
        <v>3.5</v>
      </c>
      <c r="S57" s="11">
        <f t="shared" si="19"/>
        <v>20</v>
      </c>
      <c r="T57" s="11">
        <f t="shared" si="26"/>
        <v>5.8800000000000008</v>
      </c>
      <c r="U57" s="19">
        <f t="shared" si="27"/>
        <v>0.71955555555555561</v>
      </c>
    </row>
    <row r="58" spans="1:21" ht="13.2" x14ac:dyDescent="0.25">
      <c r="A58" s="12">
        <v>53</v>
      </c>
      <c r="B58" s="21" t="s">
        <v>93</v>
      </c>
      <c r="C58" s="13">
        <v>10</v>
      </c>
      <c r="D58" s="13">
        <v>14</v>
      </c>
      <c r="E58" s="13">
        <v>23</v>
      </c>
      <c r="F58" s="14">
        <v>40</v>
      </c>
      <c r="G58" s="15">
        <v>63</v>
      </c>
      <c r="H58" s="11">
        <f t="shared" si="14"/>
        <v>4</v>
      </c>
      <c r="I58" s="11">
        <f t="shared" si="20"/>
        <v>7</v>
      </c>
      <c r="J58" s="11">
        <f t="shared" si="21"/>
        <v>4.8</v>
      </c>
      <c r="K58" s="19">
        <f t="shared" si="15"/>
        <v>0.60769230769230775</v>
      </c>
      <c r="L58" s="11">
        <f t="shared" si="16"/>
        <v>3</v>
      </c>
      <c r="M58" s="11">
        <f t="shared" si="22"/>
        <v>3.5</v>
      </c>
      <c r="N58" s="11">
        <f t="shared" si="17"/>
        <v>3.8333333333333335</v>
      </c>
      <c r="O58" s="11">
        <f t="shared" si="23"/>
        <v>6.4</v>
      </c>
      <c r="P58" s="19">
        <f t="shared" si="24"/>
        <v>0.57701149425287357</v>
      </c>
      <c r="Q58" s="11">
        <f t="shared" si="18"/>
        <v>3</v>
      </c>
      <c r="R58" s="11">
        <f t="shared" si="25"/>
        <v>3.5</v>
      </c>
      <c r="S58" s="11">
        <f t="shared" si="19"/>
        <v>19.166666666666668</v>
      </c>
      <c r="T58" s="11">
        <f t="shared" si="26"/>
        <v>4.8</v>
      </c>
      <c r="U58" s="19">
        <f t="shared" si="27"/>
        <v>0.6770370370370371</v>
      </c>
    </row>
    <row r="59" spans="1:21" ht="13.2" x14ac:dyDescent="0.25">
      <c r="A59" s="12">
        <v>54</v>
      </c>
      <c r="B59" s="21" t="s">
        <v>94</v>
      </c>
      <c r="C59" s="13">
        <v>10</v>
      </c>
      <c r="D59" s="13">
        <v>19</v>
      </c>
      <c r="E59" s="13">
        <v>30</v>
      </c>
      <c r="F59" s="14">
        <v>54</v>
      </c>
      <c r="G59" s="15">
        <v>80</v>
      </c>
      <c r="H59" s="11">
        <f t="shared" si="14"/>
        <v>4</v>
      </c>
      <c r="I59" s="11">
        <f t="shared" si="20"/>
        <v>9.5</v>
      </c>
      <c r="J59" s="11">
        <f t="shared" si="21"/>
        <v>6.4800000000000013</v>
      </c>
      <c r="K59" s="19">
        <f t="shared" si="15"/>
        <v>0.76846153846153853</v>
      </c>
      <c r="L59" s="11">
        <f t="shared" si="16"/>
        <v>3</v>
      </c>
      <c r="M59" s="11">
        <f t="shared" si="22"/>
        <v>4.75</v>
      </c>
      <c r="N59" s="11">
        <f t="shared" si="17"/>
        <v>5</v>
      </c>
      <c r="O59" s="11">
        <f t="shared" si="23"/>
        <v>8.64</v>
      </c>
      <c r="P59" s="19">
        <f t="shared" si="24"/>
        <v>0.73758620689655174</v>
      </c>
      <c r="Q59" s="11">
        <f t="shared" si="18"/>
        <v>3</v>
      </c>
      <c r="R59" s="11">
        <f t="shared" si="25"/>
        <v>4.75</v>
      </c>
      <c r="S59" s="11">
        <f t="shared" si="19"/>
        <v>25</v>
      </c>
      <c r="T59" s="11">
        <f t="shared" si="26"/>
        <v>6.4800000000000013</v>
      </c>
      <c r="U59" s="19">
        <f t="shared" si="27"/>
        <v>0.87177777777777787</v>
      </c>
    </row>
    <row r="60" spans="1:21" ht="13.2" x14ac:dyDescent="0.25">
      <c r="A60" s="12">
        <v>55</v>
      </c>
      <c r="B60" s="21" t="s">
        <v>95</v>
      </c>
      <c r="C60" s="13">
        <v>9</v>
      </c>
      <c r="D60" s="13">
        <v>18</v>
      </c>
      <c r="E60" s="13">
        <v>25</v>
      </c>
      <c r="F60" s="14">
        <v>51</v>
      </c>
      <c r="G60" s="15">
        <v>72</v>
      </c>
      <c r="H60" s="11">
        <f t="shared" si="14"/>
        <v>3.6</v>
      </c>
      <c r="I60" s="11">
        <f t="shared" si="20"/>
        <v>9</v>
      </c>
      <c r="J60" s="11">
        <f t="shared" si="21"/>
        <v>6.1199999999999992</v>
      </c>
      <c r="K60" s="19">
        <f t="shared" si="15"/>
        <v>0.72</v>
      </c>
      <c r="L60" s="11">
        <f t="shared" si="16"/>
        <v>2.7</v>
      </c>
      <c r="M60" s="11">
        <f t="shared" si="22"/>
        <v>4.5</v>
      </c>
      <c r="N60" s="11">
        <f t="shared" si="17"/>
        <v>4.166666666666667</v>
      </c>
      <c r="O60" s="11">
        <f t="shared" si="23"/>
        <v>8.16</v>
      </c>
      <c r="P60" s="19">
        <f t="shared" si="24"/>
        <v>0.67333333333333334</v>
      </c>
      <c r="Q60" s="11">
        <f t="shared" si="18"/>
        <v>2.7</v>
      </c>
      <c r="R60" s="11">
        <f t="shared" si="25"/>
        <v>4.5</v>
      </c>
      <c r="S60" s="11">
        <f t="shared" si="19"/>
        <v>20.833333333333332</v>
      </c>
      <c r="T60" s="11">
        <f t="shared" si="26"/>
        <v>6.1199999999999992</v>
      </c>
      <c r="U60" s="19">
        <f t="shared" si="27"/>
        <v>0.75896296296296284</v>
      </c>
    </row>
    <row r="61" spans="1:21" ht="13.2" x14ac:dyDescent="0.25">
      <c r="A61" s="12">
        <v>56</v>
      </c>
      <c r="B61" s="21" t="s">
        <v>96</v>
      </c>
      <c r="C61" s="13">
        <v>10</v>
      </c>
      <c r="D61" s="13">
        <v>20</v>
      </c>
      <c r="E61" s="13">
        <v>30</v>
      </c>
      <c r="F61" s="14">
        <v>83</v>
      </c>
      <c r="G61" s="15">
        <v>93</v>
      </c>
      <c r="H61" s="11">
        <f t="shared" si="14"/>
        <v>4</v>
      </c>
      <c r="I61" s="11">
        <f t="shared" si="20"/>
        <v>10</v>
      </c>
      <c r="J61" s="11">
        <f t="shared" si="21"/>
        <v>9.9600000000000009</v>
      </c>
      <c r="K61" s="19">
        <f t="shared" si="15"/>
        <v>0.92153846153846153</v>
      </c>
      <c r="L61" s="11">
        <f t="shared" si="16"/>
        <v>3</v>
      </c>
      <c r="M61" s="11">
        <f t="shared" si="22"/>
        <v>5</v>
      </c>
      <c r="N61" s="11">
        <f t="shared" si="17"/>
        <v>5</v>
      </c>
      <c r="O61" s="11">
        <f t="shared" si="23"/>
        <v>13.280000000000001</v>
      </c>
      <c r="P61" s="19">
        <f t="shared" si="24"/>
        <v>0.90620689655172415</v>
      </c>
      <c r="Q61" s="11">
        <f t="shared" si="18"/>
        <v>3</v>
      </c>
      <c r="R61" s="11">
        <f t="shared" si="25"/>
        <v>5</v>
      </c>
      <c r="S61" s="11">
        <f t="shared" si="19"/>
        <v>25</v>
      </c>
      <c r="T61" s="11">
        <f t="shared" si="26"/>
        <v>9.9600000000000009</v>
      </c>
      <c r="U61" s="19">
        <f t="shared" si="27"/>
        <v>0.95466666666666666</v>
      </c>
    </row>
    <row r="62" spans="1:21" ht="13.2" x14ac:dyDescent="0.25">
      <c r="A62" s="12">
        <v>57</v>
      </c>
      <c r="B62" s="21" t="s">
        <v>97</v>
      </c>
      <c r="C62" s="13">
        <v>10</v>
      </c>
      <c r="D62" s="13">
        <v>18</v>
      </c>
      <c r="E62" s="13">
        <v>28</v>
      </c>
      <c r="F62" s="14">
        <v>48</v>
      </c>
      <c r="G62" s="15">
        <v>75</v>
      </c>
      <c r="H62" s="11">
        <f t="shared" si="14"/>
        <v>4</v>
      </c>
      <c r="I62" s="11">
        <f t="shared" si="20"/>
        <v>9</v>
      </c>
      <c r="J62" s="11">
        <f t="shared" si="21"/>
        <v>5.76</v>
      </c>
      <c r="K62" s="19">
        <f t="shared" si="15"/>
        <v>0.72153846153846146</v>
      </c>
      <c r="L62" s="11">
        <f t="shared" si="16"/>
        <v>3</v>
      </c>
      <c r="M62" s="11">
        <f t="shared" si="22"/>
        <v>4.5</v>
      </c>
      <c r="N62" s="11">
        <f t="shared" si="17"/>
        <v>4.666666666666667</v>
      </c>
      <c r="O62" s="11">
        <f t="shared" si="23"/>
        <v>7.68</v>
      </c>
      <c r="P62" s="19">
        <f t="shared" si="24"/>
        <v>0.68436781609195407</v>
      </c>
      <c r="Q62" s="11">
        <f t="shared" si="18"/>
        <v>3</v>
      </c>
      <c r="R62" s="11">
        <f t="shared" si="25"/>
        <v>4.5</v>
      </c>
      <c r="S62" s="11">
        <f t="shared" si="19"/>
        <v>23.333333333333332</v>
      </c>
      <c r="T62" s="11">
        <f t="shared" si="26"/>
        <v>5.76</v>
      </c>
      <c r="U62" s="19">
        <f t="shared" si="27"/>
        <v>0.81318518518518523</v>
      </c>
    </row>
    <row r="63" spans="1:21" ht="13.2" x14ac:dyDescent="0.25">
      <c r="A63" s="12">
        <v>58</v>
      </c>
      <c r="B63" s="21" t="s">
        <v>98</v>
      </c>
      <c r="C63" s="13">
        <v>10</v>
      </c>
      <c r="D63" s="13">
        <v>15</v>
      </c>
      <c r="E63" s="13">
        <v>23</v>
      </c>
      <c r="F63" s="14">
        <v>43</v>
      </c>
      <c r="G63" s="15">
        <v>65</v>
      </c>
      <c r="H63" s="11">
        <f t="shared" si="14"/>
        <v>4</v>
      </c>
      <c r="I63" s="11">
        <f t="shared" si="20"/>
        <v>7.5</v>
      </c>
      <c r="J63" s="11">
        <f t="shared" si="21"/>
        <v>5.1599999999999993</v>
      </c>
      <c r="K63" s="19">
        <f t="shared" si="15"/>
        <v>0.64076923076923076</v>
      </c>
      <c r="L63" s="11">
        <f t="shared" si="16"/>
        <v>3</v>
      </c>
      <c r="M63" s="11">
        <f t="shared" si="22"/>
        <v>3.75</v>
      </c>
      <c r="N63" s="11">
        <f t="shared" si="17"/>
        <v>3.8333333333333335</v>
      </c>
      <c r="O63" s="11">
        <f t="shared" si="23"/>
        <v>6.88</v>
      </c>
      <c r="P63" s="19">
        <f t="shared" si="24"/>
        <v>0.6021839080459771</v>
      </c>
      <c r="Q63" s="11">
        <f t="shared" si="18"/>
        <v>3</v>
      </c>
      <c r="R63" s="11">
        <f t="shared" si="25"/>
        <v>3.75</v>
      </c>
      <c r="S63" s="11">
        <f t="shared" si="19"/>
        <v>19.166666666666668</v>
      </c>
      <c r="T63" s="11">
        <f t="shared" si="26"/>
        <v>5.1599999999999993</v>
      </c>
      <c r="U63" s="19">
        <f t="shared" si="27"/>
        <v>0.69059259259259265</v>
      </c>
    </row>
    <row r="64" spans="1:21" ht="13.2" x14ac:dyDescent="0.25">
      <c r="A64" s="12">
        <v>59</v>
      </c>
      <c r="B64" s="21" t="s">
        <v>99</v>
      </c>
      <c r="C64" s="13">
        <v>10</v>
      </c>
      <c r="D64" s="13">
        <v>20</v>
      </c>
      <c r="E64" s="13">
        <v>30</v>
      </c>
      <c r="F64" s="14">
        <v>79</v>
      </c>
      <c r="G64" s="15">
        <v>91</v>
      </c>
      <c r="H64" s="11">
        <f t="shared" si="14"/>
        <v>4</v>
      </c>
      <c r="I64" s="11">
        <f t="shared" si="20"/>
        <v>10</v>
      </c>
      <c r="J64" s="11">
        <f t="shared" si="21"/>
        <v>9.48</v>
      </c>
      <c r="K64" s="19">
        <f t="shared" si="15"/>
        <v>0.90307692307692311</v>
      </c>
      <c r="L64" s="11">
        <f t="shared" si="16"/>
        <v>3</v>
      </c>
      <c r="M64" s="11">
        <f t="shared" si="22"/>
        <v>5</v>
      </c>
      <c r="N64" s="11">
        <f t="shared" si="17"/>
        <v>5</v>
      </c>
      <c r="O64" s="11">
        <f t="shared" si="23"/>
        <v>12.64</v>
      </c>
      <c r="P64" s="19">
        <f t="shared" si="24"/>
        <v>0.88413793103448279</v>
      </c>
      <c r="Q64" s="11">
        <f t="shared" si="18"/>
        <v>3</v>
      </c>
      <c r="R64" s="11">
        <f t="shared" si="25"/>
        <v>5</v>
      </c>
      <c r="S64" s="11">
        <f t="shared" si="19"/>
        <v>25</v>
      </c>
      <c r="T64" s="11">
        <f t="shared" si="26"/>
        <v>9.48</v>
      </c>
      <c r="U64" s="19">
        <f t="shared" si="27"/>
        <v>0.94400000000000006</v>
      </c>
    </row>
    <row r="65" spans="1:21" ht="13.2" x14ac:dyDescent="0.25">
      <c r="A65" s="12">
        <v>60</v>
      </c>
      <c r="B65" s="21" t="s">
        <v>100</v>
      </c>
      <c r="C65" s="13">
        <v>10</v>
      </c>
      <c r="D65" s="13">
        <v>20</v>
      </c>
      <c r="E65" s="13">
        <v>29</v>
      </c>
      <c r="F65" s="14">
        <v>61</v>
      </c>
      <c r="G65" s="15">
        <v>83</v>
      </c>
      <c r="H65" s="11">
        <f t="shared" si="14"/>
        <v>4</v>
      </c>
      <c r="I65" s="11">
        <f t="shared" si="20"/>
        <v>10</v>
      </c>
      <c r="J65" s="11">
        <f t="shared" si="21"/>
        <v>7.3199999999999985</v>
      </c>
      <c r="K65" s="19">
        <f t="shared" si="15"/>
        <v>0.82000000000000006</v>
      </c>
      <c r="L65" s="11">
        <f t="shared" si="16"/>
        <v>3</v>
      </c>
      <c r="M65" s="11">
        <f t="shared" si="22"/>
        <v>5</v>
      </c>
      <c r="N65" s="11">
        <f t="shared" si="17"/>
        <v>4.833333333333333</v>
      </c>
      <c r="O65" s="11">
        <f t="shared" si="23"/>
        <v>9.76</v>
      </c>
      <c r="P65" s="19">
        <f t="shared" si="24"/>
        <v>0.77908045977011497</v>
      </c>
      <c r="Q65" s="11">
        <f t="shared" si="18"/>
        <v>3</v>
      </c>
      <c r="R65" s="11">
        <f t="shared" si="25"/>
        <v>5</v>
      </c>
      <c r="S65" s="11">
        <f t="shared" si="19"/>
        <v>24.166666666666668</v>
      </c>
      <c r="T65" s="11">
        <f t="shared" si="26"/>
        <v>7.3199999999999985</v>
      </c>
      <c r="U65" s="19">
        <f t="shared" si="27"/>
        <v>0.87748148148148164</v>
      </c>
    </row>
    <row r="66" spans="1:21" ht="13.2" x14ac:dyDescent="0.25">
      <c r="A66" s="12">
        <v>61</v>
      </c>
      <c r="B66" s="21" t="s">
        <v>101</v>
      </c>
      <c r="C66" s="13">
        <v>10</v>
      </c>
      <c r="D66" s="13">
        <v>16</v>
      </c>
      <c r="E66" s="13">
        <v>26</v>
      </c>
      <c r="F66" s="14">
        <v>49</v>
      </c>
      <c r="G66" s="15">
        <v>71</v>
      </c>
      <c r="H66" s="11">
        <f t="shared" si="14"/>
        <v>4</v>
      </c>
      <c r="I66" s="11">
        <f t="shared" si="20"/>
        <v>8</v>
      </c>
      <c r="J66" s="11">
        <f t="shared" si="21"/>
        <v>5.8800000000000008</v>
      </c>
      <c r="K66" s="19">
        <f t="shared" si="15"/>
        <v>0.68769230769230782</v>
      </c>
      <c r="L66" s="11">
        <f t="shared" si="16"/>
        <v>3</v>
      </c>
      <c r="M66" s="11">
        <f t="shared" si="22"/>
        <v>4</v>
      </c>
      <c r="N66" s="11">
        <f t="shared" si="17"/>
        <v>4.333333333333333</v>
      </c>
      <c r="O66" s="11">
        <f t="shared" si="23"/>
        <v>7.8400000000000007</v>
      </c>
      <c r="P66" s="19">
        <f t="shared" si="24"/>
        <v>0.66114942528735632</v>
      </c>
      <c r="Q66" s="11">
        <f t="shared" si="18"/>
        <v>3</v>
      </c>
      <c r="R66" s="11">
        <f t="shared" si="25"/>
        <v>4</v>
      </c>
      <c r="S66" s="11">
        <f t="shared" si="19"/>
        <v>21.666666666666668</v>
      </c>
      <c r="T66" s="11">
        <f t="shared" si="26"/>
        <v>5.8800000000000008</v>
      </c>
      <c r="U66" s="19">
        <f t="shared" si="27"/>
        <v>0.76770370370370367</v>
      </c>
    </row>
    <row r="67" spans="1:21" ht="13.2" x14ac:dyDescent="0.25">
      <c r="A67" s="12">
        <v>62</v>
      </c>
      <c r="B67" s="21" t="s">
        <v>102</v>
      </c>
      <c r="C67" s="13">
        <v>9</v>
      </c>
      <c r="D67" s="13">
        <v>15</v>
      </c>
      <c r="E67" s="13">
        <v>23</v>
      </c>
      <c r="F67" s="14">
        <v>40</v>
      </c>
      <c r="G67" s="15">
        <v>63</v>
      </c>
      <c r="H67" s="11">
        <f t="shared" si="14"/>
        <v>3.6</v>
      </c>
      <c r="I67" s="11">
        <f t="shared" si="20"/>
        <v>7.5</v>
      </c>
      <c r="J67" s="11">
        <f t="shared" si="21"/>
        <v>4.8</v>
      </c>
      <c r="K67" s="19">
        <f t="shared" si="15"/>
        <v>0.61153846153846148</v>
      </c>
      <c r="L67" s="11">
        <f t="shared" si="16"/>
        <v>2.7</v>
      </c>
      <c r="M67" s="11">
        <f t="shared" si="22"/>
        <v>3.75</v>
      </c>
      <c r="N67" s="11">
        <f t="shared" si="17"/>
        <v>3.8333333333333335</v>
      </c>
      <c r="O67" s="11">
        <f t="shared" si="23"/>
        <v>6.4</v>
      </c>
      <c r="P67" s="19">
        <f t="shared" si="24"/>
        <v>0.57528735632183914</v>
      </c>
      <c r="Q67" s="11">
        <f t="shared" si="18"/>
        <v>2.7</v>
      </c>
      <c r="R67" s="11">
        <f t="shared" si="25"/>
        <v>3.75</v>
      </c>
      <c r="S67" s="11">
        <f t="shared" si="19"/>
        <v>19.166666666666668</v>
      </c>
      <c r="T67" s="11">
        <f t="shared" si="26"/>
        <v>4.8</v>
      </c>
      <c r="U67" s="19">
        <f t="shared" si="27"/>
        <v>0.67592592592592593</v>
      </c>
    </row>
    <row r="68" spans="1:21" ht="13.2" x14ac:dyDescent="0.25">
      <c r="A68" s="12">
        <v>63</v>
      </c>
      <c r="B68" s="21" t="s">
        <v>103</v>
      </c>
      <c r="C68" s="13">
        <v>10</v>
      </c>
      <c r="D68" s="13">
        <v>14</v>
      </c>
      <c r="E68" s="13">
        <v>20</v>
      </c>
      <c r="F68" s="14">
        <v>52</v>
      </c>
      <c r="G68" s="15">
        <v>64</v>
      </c>
      <c r="H68" s="11">
        <f t="shared" ref="H68:H96" si="28">C68*$H$4/$C$4</f>
        <v>4</v>
      </c>
      <c r="I68" s="11">
        <f t="shared" si="20"/>
        <v>7</v>
      </c>
      <c r="J68" s="11">
        <f t="shared" si="21"/>
        <v>6.24</v>
      </c>
      <c r="K68" s="19">
        <f t="shared" ref="K68:K96" si="29">SUM(H68:J68)/$K$4</f>
        <v>0.66307692307692312</v>
      </c>
      <c r="L68" s="11">
        <f t="shared" ref="L68:L96" si="30">C68*$L$4/$C$4</f>
        <v>3</v>
      </c>
      <c r="M68" s="11">
        <f t="shared" si="22"/>
        <v>3.5</v>
      </c>
      <c r="N68" s="11">
        <f t="shared" ref="N68:N96" si="31">E68*$N$4/$E$4</f>
        <v>3.3333333333333335</v>
      </c>
      <c r="O68" s="11">
        <f t="shared" si="23"/>
        <v>8.32</v>
      </c>
      <c r="P68" s="19">
        <f t="shared" si="24"/>
        <v>0.625977011494253</v>
      </c>
      <c r="Q68" s="11">
        <f t="shared" ref="Q68:Q96" si="32">C68*$Q$4/$C$4</f>
        <v>3</v>
      </c>
      <c r="R68" s="11">
        <f t="shared" si="25"/>
        <v>3.5</v>
      </c>
      <c r="S68" s="11">
        <f t="shared" ref="S68:S96" si="33">E68*$S$4/$E$4</f>
        <v>16.666666666666668</v>
      </c>
      <c r="T68" s="11">
        <f t="shared" si="26"/>
        <v>6.24</v>
      </c>
      <c r="U68" s="19">
        <f t="shared" si="27"/>
        <v>0.65348148148148144</v>
      </c>
    </row>
    <row r="69" spans="1:21" ht="13.2" x14ac:dyDescent="0.25">
      <c r="A69" s="12">
        <v>64</v>
      </c>
      <c r="B69" s="21" t="s">
        <v>104</v>
      </c>
      <c r="C69" s="13">
        <v>10</v>
      </c>
      <c r="D69" s="13">
        <v>15</v>
      </c>
      <c r="E69" s="13">
        <v>24</v>
      </c>
      <c r="F69" s="14">
        <v>48</v>
      </c>
      <c r="G69" s="15">
        <v>68</v>
      </c>
      <c r="H69" s="11">
        <f t="shared" si="28"/>
        <v>4</v>
      </c>
      <c r="I69" s="11">
        <f t="shared" ref="I69:I96" si="34">D69*$I$4/$D$4</f>
        <v>7.5</v>
      </c>
      <c r="J69" s="11">
        <f t="shared" ref="J69:J96" si="35">(F69*$F$4/100)*$J$4/$F$4</f>
        <v>5.76</v>
      </c>
      <c r="K69" s="19">
        <f t="shared" si="29"/>
        <v>0.66384615384615375</v>
      </c>
      <c r="L69" s="11">
        <f t="shared" si="30"/>
        <v>3</v>
      </c>
      <c r="M69" s="11">
        <f t="shared" ref="M69:M96" si="36">D69*$M$4/$D$4</f>
        <v>3.75</v>
      </c>
      <c r="N69" s="11">
        <f t="shared" si="31"/>
        <v>4</v>
      </c>
      <c r="O69" s="11">
        <f t="shared" ref="O69:O96" si="37">(F69*$F$4/100)*$O$4/$F$4</f>
        <v>7.68</v>
      </c>
      <c r="P69" s="19">
        <f t="shared" ref="P69:P96" si="38">(L69+M69+N69+O69)/$P$4</f>
        <v>0.63551724137931032</v>
      </c>
      <c r="Q69" s="11">
        <f t="shared" si="32"/>
        <v>3</v>
      </c>
      <c r="R69" s="11">
        <f t="shared" ref="R69:R96" si="39">D69*$R$4/$D$4</f>
        <v>3.75</v>
      </c>
      <c r="S69" s="11">
        <f t="shared" si="33"/>
        <v>20</v>
      </c>
      <c r="T69" s="11">
        <f t="shared" ref="T69:T96" si="40">(F69*$F$4/100)*$T$4/$F$4</f>
        <v>5.76</v>
      </c>
      <c r="U69" s="19">
        <f t="shared" ref="U69:U96" si="41">(Q69+R69+S69+T69)/$U$4</f>
        <v>0.72244444444444444</v>
      </c>
    </row>
    <row r="70" spans="1:21" ht="13.2" x14ac:dyDescent="0.25">
      <c r="A70" s="12">
        <v>65</v>
      </c>
      <c r="B70" s="21" t="s">
        <v>105</v>
      </c>
      <c r="C70" s="13">
        <v>10</v>
      </c>
      <c r="D70" s="13">
        <v>20</v>
      </c>
      <c r="E70" s="13">
        <v>30</v>
      </c>
      <c r="F70" s="14">
        <v>89</v>
      </c>
      <c r="G70" s="15">
        <v>95</v>
      </c>
      <c r="H70" s="11">
        <f t="shared" si="28"/>
        <v>4</v>
      </c>
      <c r="I70" s="11">
        <f t="shared" si="34"/>
        <v>10</v>
      </c>
      <c r="J70" s="11">
        <f t="shared" si="35"/>
        <v>10.680000000000001</v>
      </c>
      <c r="K70" s="19">
        <f t="shared" si="29"/>
        <v>0.94923076923076921</v>
      </c>
      <c r="L70" s="11">
        <f t="shared" si="30"/>
        <v>3</v>
      </c>
      <c r="M70" s="11">
        <f t="shared" si="36"/>
        <v>5</v>
      </c>
      <c r="N70" s="11">
        <f t="shared" si="31"/>
        <v>5</v>
      </c>
      <c r="O70" s="11">
        <f t="shared" si="37"/>
        <v>14.24</v>
      </c>
      <c r="P70" s="19">
        <f t="shared" si="38"/>
        <v>0.93931034482758624</v>
      </c>
      <c r="Q70" s="11">
        <f t="shared" si="32"/>
        <v>3</v>
      </c>
      <c r="R70" s="11">
        <f t="shared" si="39"/>
        <v>5</v>
      </c>
      <c r="S70" s="11">
        <f t="shared" si="33"/>
        <v>25</v>
      </c>
      <c r="T70" s="11">
        <f t="shared" si="40"/>
        <v>10.680000000000001</v>
      </c>
      <c r="U70" s="19">
        <f t="shared" si="41"/>
        <v>0.97066666666666668</v>
      </c>
    </row>
    <row r="71" spans="1:21" ht="13.2" x14ac:dyDescent="0.25">
      <c r="A71" s="12">
        <v>66</v>
      </c>
      <c r="B71" s="21" t="s">
        <v>106</v>
      </c>
      <c r="C71" s="13">
        <v>9</v>
      </c>
      <c r="D71" s="13">
        <v>18</v>
      </c>
      <c r="E71" s="13">
        <v>25</v>
      </c>
      <c r="F71" s="14">
        <v>51</v>
      </c>
      <c r="G71" s="15">
        <v>72</v>
      </c>
      <c r="H71" s="11">
        <f t="shared" si="28"/>
        <v>3.6</v>
      </c>
      <c r="I71" s="11">
        <f t="shared" si="34"/>
        <v>9</v>
      </c>
      <c r="J71" s="11">
        <f t="shared" si="35"/>
        <v>6.1199999999999992</v>
      </c>
      <c r="K71" s="19">
        <f t="shared" si="29"/>
        <v>0.72</v>
      </c>
      <c r="L71" s="11">
        <f t="shared" si="30"/>
        <v>2.7</v>
      </c>
      <c r="M71" s="11">
        <f t="shared" si="36"/>
        <v>4.5</v>
      </c>
      <c r="N71" s="11">
        <f t="shared" si="31"/>
        <v>4.166666666666667</v>
      </c>
      <c r="O71" s="11">
        <f t="shared" si="37"/>
        <v>8.16</v>
      </c>
      <c r="P71" s="19">
        <f t="shared" si="38"/>
        <v>0.67333333333333334</v>
      </c>
      <c r="Q71" s="11">
        <f t="shared" si="32"/>
        <v>2.7</v>
      </c>
      <c r="R71" s="11">
        <f t="shared" si="39"/>
        <v>4.5</v>
      </c>
      <c r="S71" s="11">
        <f t="shared" si="33"/>
        <v>20.833333333333332</v>
      </c>
      <c r="T71" s="11">
        <f t="shared" si="40"/>
        <v>6.1199999999999992</v>
      </c>
      <c r="U71" s="19">
        <f t="shared" si="41"/>
        <v>0.75896296296296284</v>
      </c>
    </row>
    <row r="72" spans="1:21" ht="13.2" x14ac:dyDescent="0.25">
      <c r="A72" s="12">
        <v>67</v>
      </c>
      <c r="B72" s="21" t="s">
        <v>107</v>
      </c>
      <c r="C72" s="13">
        <v>10</v>
      </c>
      <c r="D72" s="13">
        <v>20</v>
      </c>
      <c r="E72" s="13">
        <v>28</v>
      </c>
      <c r="F72" s="14">
        <v>59</v>
      </c>
      <c r="G72" s="15">
        <v>81</v>
      </c>
      <c r="H72" s="11">
        <f t="shared" si="28"/>
        <v>4</v>
      </c>
      <c r="I72" s="11">
        <f t="shared" si="34"/>
        <v>10</v>
      </c>
      <c r="J72" s="11">
        <f t="shared" si="35"/>
        <v>7.080000000000001</v>
      </c>
      <c r="K72" s="19">
        <f t="shared" si="29"/>
        <v>0.8107692307692308</v>
      </c>
      <c r="L72" s="11">
        <f t="shared" si="30"/>
        <v>3</v>
      </c>
      <c r="M72" s="11">
        <f t="shared" si="36"/>
        <v>5</v>
      </c>
      <c r="N72" s="11">
        <f t="shared" si="31"/>
        <v>4.666666666666667</v>
      </c>
      <c r="O72" s="11">
        <f t="shared" si="37"/>
        <v>9.4400000000000013</v>
      </c>
      <c r="P72" s="19">
        <f t="shared" si="38"/>
        <v>0.76229885057471269</v>
      </c>
      <c r="Q72" s="11">
        <f t="shared" si="32"/>
        <v>3</v>
      </c>
      <c r="R72" s="11">
        <f t="shared" si="39"/>
        <v>5</v>
      </c>
      <c r="S72" s="11">
        <f t="shared" si="33"/>
        <v>23.333333333333332</v>
      </c>
      <c r="T72" s="11">
        <f t="shared" si="40"/>
        <v>7.080000000000001</v>
      </c>
      <c r="U72" s="19">
        <f t="shared" si="41"/>
        <v>0.85362962962962963</v>
      </c>
    </row>
    <row r="73" spans="1:21" ht="13.2" x14ac:dyDescent="0.25">
      <c r="A73" s="12">
        <v>68</v>
      </c>
      <c r="B73" s="21" t="s">
        <v>108</v>
      </c>
      <c r="C73" s="13">
        <v>10</v>
      </c>
      <c r="D73" s="13">
        <v>20</v>
      </c>
      <c r="E73" s="13">
        <v>30</v>
      </c>
      <c r="F73" s="14">
        <v>70</v>
      </c>
      <c r="G73" s="15">
        <v>88</v>
      </c>
      <c r="H73" s="11">
        <f t="shared" si="28"/>
        <v>4</v>
      </c>
      <c r="I73" s="11">
        <f t="shared" si="34"/>
        <v>10</v>
      </c>
      <c r="J73" s="11">
        <f t="shared" si="35"/>
        <v>8.4</v>
      </c>
      <c r="K73" s="19">
        <f t="shared" si="29"/>
        <v>0.86153846153846148</v>
      </c>
      <c r="L73" s="11">
        <f t="shared" si="30"/>
        <v>3</v>
      </c>
      <c r="M73" s="11">
        <f t="shared" si="36"/>
        <v>5</v>
      </c>
      <c r="N73" s="11">
        <f t="shared" si="31"/>
        <v>5</v>
      </c>
      <c r="O73" s="11">
        <f t="shared" si="37"/>
        <v>11.2</v>
      </c>
      <c r="P73" s="19">
        <f t="shared" si="38"/>
        <v>0.83448275862068966</v>
      </c>
      <c r="Q73" s="11">
        <f t="shared" si="32"/>
        <v>3</v>
      </c>
      <c r="R73" s="11">
        <f t="shared" si="39"/>
        <v>5</v>
      </c>
      <c r="S73" s="11">
        <f t="shared" si="33"/>
        <v>25</v>
      </c>
      <c r="T73" s="11">
        <f t="shared" si="40"/>
        <v>8.4</v>
      </c>
      <c r="U73" s="19">
        <f t="shared" si="41"/>
        <v>0.91999999999999993</v>
      </c>
    </row>
    <row r="74" spans="1:21" ht="13.2" x14ac:dyDescent="0.25">
      <c r="A74" s="12">
        <v>69</v>
      </c>
      <c r="B74" s="21" t="s">
        <v>109</v>
      </c>
      <c r="C74" s="13">
        <v>10</v>
      </c>
      <c r="D74" s="13">
        <v>20</v>
      </c>
      <c r="E74" s="13">
        <v>30</v>
      </c>
      <c r="F74" s="14">
        <v>77</v>
      </c>
      <c r="G74" s="15">
        <v>90</v>
      </c>
      <c r="H74" s="11">
        <f t="shared" si="28"/>
        <v>4</v>
      </c>
      <c r="I74" s="11">
        <f t="shared" si="34"/>
        <v>10</v>
      </c>
      <c r="J74" s="11">
        <f t="shared" si="35"/>
        <v>9.24</v>
      </c>
      <c r="K74" s="19">
        <f t="shared" si="29"/>
        <v>0.89384615384615396</v>
      </c>
      <c r="L74" s="11">
        <f t="shared" si="30"/>
        <v>3</v>
      </c>
      <c r="M74" s="11">
        <f t="shared" si="36"/>
        <v>5</v>
      </c>
      <c r="N74" s="11">
        <f t="shared" si="31"/>
        <v>5</v>
      </c>
      <c r="O74" s="11">
        <f t="shared" si="37"/>
        <v>12.32</v>
      </c>
      <c r="P74" s="19">
        <f t="shared" si="38"/>
        <v>0.87310344827586206</v>
      </c>
      <c r="Q74" s="11">
        <f t="shared" si="32"/>
        <v>3</v>
      </c>
      <c r="R74" s="11">
        <f t="shared" si="39"/>
        <v>5</v>
      </c>
      <c r="S74" s="11">
        <f t="shared" si="33"/>
        <v>25</v>
      </c>
      <c r="T74" s="11">
        <f t="shared" si="40"/>
        <v>9.24</v>
      </c>
      <c r="U74" s="19">
        <f t="shared" si="41"/>
        <v>0.93866666666666676</v>
      </c>
    </row>
    <row r="75" spans="1:21" ht="13.2" x14ac:dyDescent="0.25">
      <c r="A75" s="12">
        <v>70</v>
      </c>
      <c r="B75" s="21" t="s">
        <v>110</v>
      </c>
      <c r="C75" s="13">
        <v>10</v>
      </c>
      <c r="D75" s="13">
        <v>16</v>
      </c>
      <c r="E75" s="13">
        <v>22</v>
      </c>
      <c r="F75" s="14">
        <v>37</v>
      </c>
      <c r="G75" s="15">
        <v>62</v>
      </c>
      <c r="H75" s="11">
        <f t="shared" si="28"/>
        <v>4</v>
      </c>
      <c r="I75" s="11">
        <f t="shared" si="34"/>
        <v>8</v>
      </c>
      <c r="J75" s="11">
        <f t="shared" si="35"/>
        <v>4.4400000000000004</v>
      </c>
      <c r="K75" s="19">
        <f t="shared" si="29"/>
        <v>0.63230769230769235</v>
      </c>
      <c r="L75" s="11">
        <f t="shared" si="30"/>
        <v>3</v>
      </c>
      <c r="M75" s="11">
        <f t="shared" si="36"/>
        <v>4</v>
      </c>
      <c r="N75" s="11">
        <f t="shared" si="31"/>
        <v>3.6666666666666665</v>
      </c>
      <c r="O75" s="11">
        <f t="shared" si="37"/>
        <v>5.92</v>
      </c>
      <c r="P75" s="19">
        <f t="shared" si="38"/>
        <v>0.57195402298850573</v>
      </c>
      <c r="Q75" s="11">
        <f t="shared" si="32"/>
        <v>3</v>
      </c>
      <c r="R75" s="11">
        <f t="shared" si="39"/>
        <v>4</v>
      </c>
      <c r="S75" s="11">
        <f t="shared" si="33"/>
        <v>18.333333333333332</v>
      </c>
      <c r="T75" s="11">
        <f t="shared" si="40"/>
        <v>4.4400000000000004</v>
      </c>
      <c r="U75" s="19">
        <f t="shared" si="41"/>
        <v>0.66162962962962968</v>
      </c>
    </row>
    <row r="76" spans="1:21" ht="13.2" x14ac:dyDescent="0.25">
      <c r="A76" s="12">
        <v>71</v>
      </c>
      <c r="B76" s="21" t="s">
        <v>111</v>
      </c>
      <c r="C76" s="13">
        <v>10</v>
      </c>
      <c r="D76" s="13">
        <v>15</v>
      </c>
      <c r="E76" s="13">
        <v>24</v>
      </c>
      <c r="F76" s="14">
        <v>48</v>
      </c>
      <c r="G76" s="15">
        <v>68</v>
      </c>
      <c r="H76" s="11">
        <f t="shared" si="28"/>
        <v>4</v>
      </c>
      <c r="I76" s="11">
        <f t="shared" si="34"/>
        <v>7.5</v>
      </c>
      <c r="J76" s="11">
        <f t="shared" si="35"/>
        <v>5.76</v>
      </c>
      <c r="K76" s="19">
        <f t="shared" si="29"/>
        <v>0.66384615384615375</v>
      </c>
      <c r="L76" s="11">
        <f t="shared" si="30"/>
        <v>3</v>
      </c>
      <c r="M76" s="11">
        <f t="shared" si="36"/>
        <v>3.75</v>
      </c>
      <c r="N76" s="11">
        <f t="shared" si="31"/>
        <v>4</v>
      </c>
      <c r="O76" s="11">
        <f t="shared" si="37"/>
        <v>7.68</v>
      </c>
      <c r="P76" s="19">
        <f t="shared" si="38"/>
        <v>0.63551724137931032</v>
      </c>
      <c r="Q76" s="11">
        <f t="shared" si="32"/>
        <v>3</v>
      </c>
      <c r="R76" s="11">
        <f t="shared" si="39"/>
        <v>3.75</v>
      </c>
      <c r="S76" s="11">
        <f t="shared" si="33"/>
        <v>20</v>
      </c>
      <c r="T76" s="11">
        <f t="shared" si="40"/>
        <v>5.76</v>
      </c>
      <c r="U76" s="19">
        <f t="shared" si="41"/>
        <v>0.72244444444444444</v>
      </c>
    </row>
    <row r="77" spans="1:21" ht="13.2" x14ac:dyDescent="0.25">
      <c r="A77" s="12">
        <v>72</v>
      </c>
      <c r="B77" s="21" t="s">
        <v>112</v>
      </c>
      <c r="C77" s="13">
        <v>8</v>
      </c>
      <c r="D77" s="13">
        <v>20</v>
      </c>
      <c r="E77" s="13">
        <v>30</v>
      </c>
      <c r="F77" s="14">
        <v>76</v>
      </c>
      <c r="G77" s="15">
        <v>88</v>
      </c>
      <c r="H77" s="11">
        <f t="shared" si="28"/>
        <v>3.2</v>
      </c>
      <c r="I77" s="11">
        <f t="shared" si="34"/>
        <v>10</v>
      </c>
      <c r="J77" s="11">
        <f t="shared" si="35"/>
        <v>9.1199999999999992</v>
      </c>
      <c r="K77" s="19">
        <f t="shared" si="29"/>
        <v>0.8584615384615385</v>
      </c>
      <c r="L77" s="11">
        <f t="shared" si="30"/>
        <v>2.4</v>
      </c>
      <c r="M77" s="11">
        <f t="shared" si="36"/>
        <v>5</v>
      </c>
      <c r="N77" s="11">
        <f t="shared" si="31"/>
        <v>5</v>
      </c>
      <c r="O77" s="11">
        <f t="shared" si="37"/>
        <v>12.16</v>
      </c>
      <c r="P77" s="19">
        <f t="shared" si="38"/>
        <v>0.84689655172413802</v>
      </c>
      <c r="Q77" s="11">
        <f t="shared" si="32"/>
        <v>2.4</v>
      </c>
      <c r="R77" s="11">
        <f t="shared" si="39"/>
        <v>5</v>
      </c>
      <c r="S77" s="11">
        <f t="shared" si="33"/>
        <v>25</v>
      </c>
      <c r="T77" s="11">
        <f t="shared" si="40"/>
        <v>9.1199999999999992</v>
      </c>
      <c r="U77" s="19">
        <f t="shared" si="41"/>
        <v>0.92266666666666652</v>
      </c>
    </row>
    <row r="78" spans="1:21" ht="13.2" x14ac:dyDescent="0.25">
      <c r="A78" s="12">
        <v>73</v>
      </c>
      <c r="B78" s="21" t="s">
        <v>113</v>
      </c>
      <c r="C78" s="13">
        <v>9</v>
      </c>
      <c r="D78" s="13">
        <v>20</v>
      </c>
      <c r="E78" s="13">
        <v>30</v>
      </c>
      <c r="F78" s="14">
        <v>64</v>
      </c>
      <c r="G78" s="15">
        <v>84</v>
      </c>
      <c r="H78" s="11">
        <f t="shared" si="28"/>
        <v>3.6</v>
      </c>
      <c r="I78" s="11">
        <f t="shared" si="34"/>
        <v>10</v>
      </c>
      <c r="J78" s="11">
        <f t="shared" si="35"/>
        <v>7.6800000000000015</v>
      </c>
      <c r="K78" s="19">
        <f t="shared" si="29"/>
        <v>0.81846153846153846</v>
      </c>
      <c r="L78" s="11">
        <f t="shared" si="30"/>
        <v>2.7</v>
      </c>
      <c r="M78" s="11">
        <f t="shared" si="36"/>
        <v>5</v>
      </c>
      <c r="N78" s="11">
        <f t="shared" si="31"/>
        <v>5</v>
      </c>
      <c r="O78" s="11">
        <f t="shared" si="37"/>
        <v>10.24</v>
      </c>
      <c r="P78" s="19">
        <f t="shared" si="38"/>
        <v>0.79103448275862065</v>
      </c>
      <c r="Q78" s="11">
        <f t="shared" si="32"/>
        <v>2.7</v>
      </c>
      <c r="R78" s="11">
        <f t="shared" si="39"/>
        <v>5</v>
      </c>
      <c r="S78" s="11">
        <f t="shared" si="33"/>
        <v>25</v>
      </c>
      <c r="T78" s="11">
        <f t="shared" si="40"/>
        <v>7.6800000000000015</v>
      </c>
      <c r="U78" s="19">
        <f t="shared" si="41"/>
        <v>0.89733333333333343</v>
      </c>
    </row>
    <row r="79" spans="1:21" ht="13.2" x14ac:dyDescent="0.25">
      <c r="A79" s="12">
        <v>74</v>
      </c>
      <c r="B79" s="21" t="s">
        <v>114</v>
      </c>
      <c r="C79" s="13">
        <v>10</v>
      </c>
      <c r="D79" s="13">
        <v>20</v>
      </c>
      <c r="E79" s="13">
        <v>30</v>
      </c>
      <c r="F79" s="14">
        <v>76</v>
      </c>
      <c r="G79" s="15">
        <v>90</v>
      </c>
      <c r="H79" s="11">
        <f t="shared" si="28"/>
        <v>4</v>
      </c>
      <c r="I79" s="11">
        <f t="shared" si="34"/>
        <v>10</v>
      </c>
      <c r="J79" s="11">
        <f t="shared" si="35"/>
        <v>9.1199999999999992</v>
      </c>
      <c r="K79" s="19">
        <f t="shared" si="29"/>
        <v>0.88923076923076916</v>
      </c>
      <c r="L79" s="11">
        <f t="shared" si="30"/>
        <v>3</v>
      </c>
      <c r="M79" s="11">
        <f t="shared" si="36"/>
        <v>5</v>
      </c>
      <c r="N79" s="11">
        <f t="shared" si="31"/>
        <v>5</v>
      </c>
      <c r="O79" s="11">
        <f t="shared" si="37"/>
        <v>12.16</v>
      </c>
      <c r="P79" s="19">
        <f t="shared" si="38"/>
        <v>0.86758620689655175</v>
      </c>
      <c r="Q79" s="11">
        <f t="shared" si="32"/>
        <v>3</v>
      </c>
      <c r="R79" s="11">
        <f t="shared" si="39"/>
        <v>5</v>
      </c>
      <c r="S79" s="11">
        <f t="shared" si="33"/>
        <v>25</v>
      </c>
      <c r="T79" s="11">
        <f t="shared" si="40"/>
        <v>9.1199999999999992</v>
      </c>
      <c r="U79" s="19">
        <f t="shared" si="41"/>
        <v>0.93599999999999994</v>
      </c>
    </row>
    <row r="80" spans="1:21" ht="13.2" x14ac:dyDescent="0.25">
      <c r="A80" s="12">
        <v>75</v>
      </c>
      <c r="B80" s="21" t="s">
        <v>115</v>
      </c>
      <c r="C80" s="13">
        <v>9</v>
      </c>
      <c r="D80" s="13">
        <v>15</v>
      </c>
      <c r="E80" s="13">
        <v>23</v>
      </c>
      <c r="F80" s="14">
        <v>39</v>
      </c>
      <c r="G80" s="15">
        <v>62</v>
      </c>
      <c r="H80" s="11">
        <f t="shared" si="28"/>
        <v>3.6</v>
      </c>
      <c r="I80" s="11">
        <f t="shared" si="34"/>
        <v>7.5</v>
      </c>
      <c r="J80" s="11">
        <f t="shared" si="35"/>
        <v>4.68</v>
      </c>
      <c r="K80" s="19">
        <f t="shared" si="29"/>
        <v>0.6069230769230769</v>
      </c>
      <c r="L80" s="11">
        <f t="shared" si="30"/>
        <v>2.7</v>
      </c>
      <c r="M80" s="11">
        <f t="shared" si="36"/>
        <v>3.75</v>
      </c>
      <c r="N80" s="11">
        <f t="shared" si="31"/>
        <v>3.8333333333333335</v>
      </c>
      <c r="O80" s="11">
        <f t="shared" si="37"/>
        <v>6.24</v>
      </c>
      <c r="P80" s="19">
        <f t="shared" si="38"/>
        <v>0.56977011494252872</v>
      </c>
      <c r="Q80" s="11">
        <f t="shared" si="32"/>
        <v>2.7</v>
      </c>
      <c r="R80" s="11">
        <f t="shared" si="39"/>
        <v>3.75</v>
      </c>
      <c r="S80" s="11">
        <f t="shared" si="33"/>
        <v>19.166666666666668</v>
      </c>
      <c r="T80" s="11">
        <f t="shared" si="40"/>
        <v>4.68</v>
      </c>
      <c r="U80" s="19">
        <f t="shared" si="41"/>
        <v>0.67325925925925922</v>
      </c>
    </row>
    <row r="81" spans="1:28" ht="13.2" x14ac:dyDescent="0.25">
      <c r="A81" s="12">
        <v>76</v>
      </c>
      <c r="B81" s="21" t="s">
        <v>116</v>
      </c>
      <c r="C81" s="13">
        <v>10</v>
      </c>
      <c r="D81" s="13">
        <v>15</v>
      </c>
      <c r="E81" s="13">
        <v>25</v>
      </c>
      <c r="F81" s="14">
        <v>53</v>
      </c>
      <c r="G81" s="15">
        <v>71</v>
      </c>
      <c r="H81" s="11">
        <f t="shared" si="28"/>
        <v>4</v>
      </c>
      <c r="I81" s="11">
        <f t="shared" si="34"/>
        <v>7.5</v>
      </c>
      <c r="J81" s="11">
        <f t="shared" si="35"/>
        <v>6.3599999999999994</v>
      </c>
      <c r="K81" s="19">
        <f t="shared" si="29"/>
        <v>0.68692307692307686</v>
      </c>
      <c r="L81" s="11">
        <f t="shared" si="30"/>
        <v>3</v>
      </c>
      <c r="M81" s="11">
        <f t="shared" si="36"/>
        <v>3.75</v>
      </c>
      <c r="N81" s="11">
        <f t="shared" si="31"/>
        <v>4.166666666666667</v>
      </c>
      <c r="O81" s="11">
        <f t="shared" si="37"/>
        <v>8.48</v>
      </c>
      <c r="P81" s="19">
        <f t="shared" si="38"/>
        <v>0.66885057471264375</v>
      </c>
      <c r="Q81" s="11">
        <f t="shared" si="32"/>
        <v>3</v>
      </c>
      <c r="R81" s="11">
        <f t="shared" si="39"/>
        <v>3.75</v>
      </c>
      <c r="S81" s="11">
        <f t="shared" si="33"/>
        <v>20.833333333333332</v>
      </c>
      <c r="T81" s="11">
        <f t="shared" si="40"/>
        <v>6.3599999999999994</v>
      </c>
      <c r="U81" s="19">
        <f t="shared" si="41"/>
        <v>0.75429629629629613</v>
      </c>
    </row>
    <row r="82" spans="1:28" ht="13.2" x14ac:dyDescent="0.25">
      <c r="A82" s="12">
        <v>77</v>
      </c>
      <c r="B82" s="21" t="s">
        <v>117</v>
      </c>
      <c r="C82" s="13">
        <v>9</v>
      </c>
      <c r="D82" s="13">
        <v>18</v>
      </c>
      <c r="E82" s="13">
        <v>28</v>
      </c>
      <c r="F82" s="14">
        <v>52</v>
      </c>
      <c r="G82" s="15">
        <v>75</v>
      </c>
      <c r="H82" s="11">
        <f t="shared" si="28"/>
        <v>3.6</v>
      </c>
      <c r="I82" s="11">
        <f t="shared" si="34"/>
        <v>9</v>
      </c>
      <c r="J82" s="11">
        <f t="shared" si="35"/>
        <v>6.24</v>
      </c>
      <c r="K82" s="19">
        <f t="shared" si="29"/>
        <v>0.72461538461538466</v>
      </c>
      <c r="L82" s="11">
        <f t="shared" si="30"/>
        <v>2.7</v>
      </c>
      <c r="M82" s="11">
        <f t="shared" si="36"/>
        <v>4.5</v>
      </c>
      <c r="N82" s="11">
        <f t="shared" si="31"/>
        <v>4.666666666666667</v>
      </c>
      <c r="O82" s="11">
        <f t="shared" si="37"/>
        <v>8.32</v>
      </c>
      <c r="P82" s="19">
        <f t="shared" si="38"/>
        <v>0.69609195402298851</v>
      </c>
      <c r="Q82" s="11">
        <f t="shared" si="32"/>
        <v>2.7</v>
      </c>
      <c r="R82" s="11">
        <f t="shared" si="39"/>
        <v>4.5</v>
      </c>
      <c r="S82" s="11">
        <f t="shared" si="33"/>
        <v>23.333333333333332</v>
      </c>
      <c r="T82" s="11">
        <f t="shared" si="40"/>
        <v>6.24</v>
      </c>
      <c r="U82" s="19">
        <f t="shared" si="41"/>
        <v>0.81718518518518524</v>
      </c>
    </row>
    <row r="83" spans="1:28" ht="13.2" x14ac:dyDescent="0.25">
      <c r="A83" s="12">
        <v>78</v>
      </c>
      <c r="B83" s="21" t="s">
        <v>118</v>
      </c>
      <c r="C83" s="13">
        <v>10</v>
      </c>
      <c r="D83" s="13">
        <v>19</v>
      </c>
      <c r="E83" s="13">
        <v>28</v>
      </c>
      <c r="F83" s="14">
        <v>58</v>
      </c>
      <c r="G83" s="15">
        <v>80</v>
      </c>
      <c r="H83" s="11">
        <f t="shared" si="28"/>
        <v>4</v>
      </c>
      <c r="I83" s="11">
        <f t="shared" si="34"/>
        <v>9.5</v>
      </c>
      <c r="J83" s="11">
        <f t="shared" si="35"/>
        <v>6.9599999999999991</v>
      </c>
      <c r="K83" s="19">
        <f t="shared" si="29"/>
        <v>0.78692307692307695</v>
      </c>
      <c r="L83" s="11">
        <f t="shared" si="30"/>
        <v>3</v>
      </c>
      <c r="M83" s="11">
        <f t="shared" si="36"/>
        <v>4.75</v>
      </c>
      <c r="N83" s="11">
        <f t="shared" si="31"/>
        <v>4.666666666666667</v>
      </c>
      <c r="O83" s="11">
        <f t="shared" si="37"/>
        <v>9.2799999999999994</v>
      </c>
      <c r="P83" s="19">
        <f t="shared" si="38"/>
        <v>0.7481609195402299</v>
      </c>
      <c r="Q83" s="11">
        <f t="shared" si="32"/>
        <v>3</v>
      </c>
      <c r="R83" s="11">
        <f t="shared" si="39"/>
        <v>4.75</v>
      </c>
      <c r="S83" s="11">
        <f t="shared" si="33"/>
        <v>23.333333333333332</v>
      </c>
      <c r="T83" s="11">
        <f t="shared" si="40"/>
        <v>6.9599999999999991</v>
      </c>
      <c r="U83" s="19">
        <f t="shared" si="41"/>
        <v>0.84540740740740727</v>
      </c>
    </row>
    <row r="84" spans="1:28" ht="13.2" x14ac:dyDescent="0.25">
      <c r="A84" s="12">
        <v>79</v>
      </c>
      <c r="B84" s="21" t="s">
        <v>119</v>
      </c>
      <c r="C84" s="13">
        <v>10</v>
      </c>
      <c r="D84" s="13">
        <v>17</v>
      </c>
      <c r="E84" s="13">
        <v>26</v>
      </c>
      <c r="F84" s="14">
        <v>47</v>
      </c>
      <c r="G84" s="15">
        <v>71</v>
      </c>
      <c r="H84" s="11">
        <f t="shared" si="28"/>
        <v>4</v>
      </c>
      <c r="I84" s="11">
        <f t="shared" si="34"/>
        <v>8.5</v>
      </c>
      <c r="J84" s="11">
        <f t="shared" si="35"/>
        <v>5.6400000000000006</v>
      </c>
      <c r="K84" s="19">
        <f t="shared" si="29"/>
        <v>0.69769230769230772</v>
      </c>
      <c r="L84" s="11">
        <f t="shared" si="30"/>
        <v>3</v>
      </c>
      <c r="M84" s="11">
        <f t="shared" si="36"/>
        <v>4.25</v>
      </c>
      <c r="N84" s="11">
        <f t="shared" si="31"/>
        <v>4.333333333333333</v>
      </c>
      <c r="O84" s="11">
        <f t="shared" si="37"/>
        <v>7.5200000000000005</v>
      </c>
      <c r="P84" s="19">
        <f t="shared" si="38"/>
        <v>0.65873563218390796</v>
      </c>
      <c r="Q84" s="11">
        <f t="shared" si="32"/>
        <v>3</v>
      </c>
      <c r="R84" s="11">
        <f t="shared" si="39"/>
        <v>4.25</v>
      </c>
      <c r="S84" s="11">
        <f t="shared" si="33"/>
        <v>21.666666666666668</v>
      </c>
      <c r="T84" s="11">
        <f t="shared" si="40"/>
        <v>5.6400000000000006</v>
      </c>
      <c r="U84" s="19">
        <f t="shared" si="41"/>
        <v>0.76792592592592601</v>
      </c>
    </row>
    <row r="85" spans="1:28" ht="13.2" x14ac:dyDescent="0.25">
      <c r="A85" s="12">
        <v>80</v>
      </c>
      <c r="B85" s="21" t="s">
        <v>120</v>
      </c>
      <c r="C85" s="13">
        <v>10</v>
      </c>
      <c r="D85" s="13">
        <v>20</v>
      </c>
      <c r="E85" s="13">
        <v>30</v>
      </c>
      <c r="F85" s="14">
        <v>63</v>
      </c>
      <c r="G85" s="15">
        <v>85</v>
      </c>
      <c r="H85" s="11">
        <f t="shared" si="28"/>
        <v>4</v>
      </c>
      <c r="I85" s="11">
        <f t="shared" si="34"/>
        <v>10</v>
      </c>
      <c r="J85" s="11">
        <f t="shared" si="35"/>
        <v>7.56</v>
      </c>
      <c r="K85" s="19">
        <f t="shared" si="29"/>
        <v>0.82923076923076922</v>
      </c>
      <c r="L85" s="11">
        <f t="shared" si="30"/>
        <v>3</v>
      </c>
      <c r="M85" s="11">
        <f t="shared" si="36"/>
        <v>5</v>
      </c>
      <c r="N85" s="11">
        <f t="shared" si="31"/>
        <v>5</v>
      </c>
      <c r="O85" s="11">
        <f t="shared" si="37"/>
        <v>10.08</v>
      </c>
      <c r="P85" s="19">
        <f t="shared" si="38"/>
        <v>0.79586206896551714</v>
      </c>
      <c r="Q85" s="11">
        <f t="shared" si="32"/>
        <v>3</v>
      </c>
      <c r="R85" s="11">
        <f t="shared" si="39"/>
        <v>5</v>
      </c>
      <c r="S85" s="11">
        <f t="shared" si="33"/>
        <v>25</v>
      </c>
      <c r="T85" s="11">
        <f t="shared" si="40"/>
        <v>7.56</v>
      </c>
      <c r="U85" s="19">
        <f t="shared" si="41"/>
        <v>0.90133333333333343</v>
      </c>
    </row>
    <row r="86" spans="1:28" ht="13.2" x14ac:dyDescent="0.25">
      <c r="A86" s="12">
        <v>81</v>
      </c>
      <c r="B86" s="21" t="s">
        <v>121</v>
      </c>
      <c r="C86" s="13">
        <v>10</v>
      </c>
      <c r="D86" s="13">
        <v>19</v>
      </c>
      <c r="E86" s="13">
        <v>29</v>
      </c>
      <c r="F86" s="14">
        <v>56</v>
      </c>
      <c r="G86" s="15">
        <v>80</v>
      </c>
      <c r="H86" s="11">
        <f t="shared" si="28"/>
        <v>4</v>
      </c>
      <c r="I86" s="11">
        <f t="shared" si="34"/>
        <v>9.5</v>
      </c>
      <c r="J86" s="11">
        <f t="shared" si="35"/>
        <v>6.7199999999999989</v>
      </c>
      <c r="K86" s="19">
        <f t="shared" si="29"/>
        <v>0.77769230769230768</v>
      </c>
      <c r="L86" s="11">
        <f t="shared" si="30"/>
        <v>3</v>
      </c>
      <c r="M86" s="11">
        <f t="shared" si="36"/>
        <v>4.75</v>
      </c>
      <c r="N86" s="11">
        <f t="shared" si="31"/>
        <v>4.833333333333333</v>
      </c>
      <c r="O86" s="11">
        <f t="shared" si="37"/>
        <v>8.9599999999999991</v>
      </c>
      <c r="P86" s="19">
        <f t="shared" si="38"/>
        <v>0.74287356321839071</v>
      </c>
      <c r="Q86" s="11">
        <f t="shared" si="32"/>
        <v>3</v>
      </c>
      <c r="R86" s="11">
        <f t="shared" si="39"/>
        <v>4.75</v>
      </c>
      <c r="S86" s="11">
        <f t="shared" si="33"/>
        <v>24.166666666666668</v>
      </c>
      <c r="T86" s="11">
        <f t="shared" si="40"/>
        <v>6.7199999999999989</v>
      </c>
      <c r="U86" s="19">
        <f t="shared" si="41"/>
        <v>0.85859259259259268</v>
      </c>
    </row>
    <row r="87" spans="1:28" ht="13.2" x14ac:dyDescent="0.25">
      <c r="A87" s="12">
        <v>82</v>
      </c>
      <c r="B87" s="21" t="s">
        <v>122</v>
      </c>
      <c r="C87" s="13">
        <v>10</v>
      </c>
      <c r="D87" s="13">
        <v>20</v>
      </c>
      <c r="E87" s="13">
        <v>30</v>
      </c>
      <c r="F87" s="14">
        <v>67</v>
      </c>
      <c r="G87" s="15">
        <v>86</v>
      </c>
      <c r="H87" s="11">
        <f t="shared" si="28"/>
        <v>4</v>
      </c>
      <c r="I87" s="11">
        <f t="shared" si="34"/>
        <v>10</v>
      </c>
      <c r="J87" s="11">
        <f t="shared" si="35"/>
        <v>8.0400000000000009</v>
      </c>
      <c r="K87" s="19">
        <f t="shared" si="29"/>
        <v>0.84769230769230763</v>
      </c>
      <c r="L87" s="11">
        <f t="shared" si="30"/>
        <v>3</v>
      </c>
      <c r="M87" s="11">
        <f t="shared" si="36"/>
        <v>5</v>
      </c>
      <c r="N87" s="11">
        <f t="shared" si="31"/>
        <v>5</v>
      </c>
      <c r="O87" s="11">
        <f t="shared" si="37"/>
        <v>10.72</v>
      </c>
      <c r="P87" s="19">
        <f t="shared" si="38"/>
        <v>0.81793103448275861</v>
      </c>
      <c r="Q87" s="11">
        <f t="shared" si="32"/>
        <v>3</v>
      </c>
      <c r="R87" s="11">
        <f t="shared" si="39"/>
        <v>5</v>
      </c>
      <c r="S87" s="11">
        <f t="shared" si="33"/>
        <v>25</v>
      </c>
      <c r="T87" s="11">
        <f t="shared" si="40"/>
        <v>8.0400000000000009</v>
      </c>
      <c r="U87" s="19">
        <f t="shared" si="41"/>
        <v>0.91200000000000003</v>
      </c>
    </row>
    <row r="88" spans="1:28" ht="13.2" x14ac:dyDescent="0.25">
      <c r="A88" s="12">
        <v>83</v>
      </c>
      <c r="B88" s="21" t="s">
        <v>123</v>
      </c>
      <c r="C88" s="13">
        <v>10</v>
      </c>
      <c r="D88" s="13">
        <v>18</v>
      </c>
      <c r="E88" s="13">
        <v>24</v>
      </c>
      <c r="F88" s="14">
        <v>49</v>
      </c>
      <c r="G88" s="15">
        <v>71</v>
      </c>
      <c r="H88" s="11">
        <f t="shared" si="28"/>
        <v>4</v>
      </c>
      <c r="I88" s="11">
        <f t="shared" si="34"/>
        <v>9</v>
      </c>
      <c r="J88" s="11">
        <f t="shared" si="35"/>
        <v>5.8800000000000008</v>
      </c>
      <c r="K88" s="19">
        <f t="shared" si="29"/>
        <v>0.72615384615384626</v>
      </c>
      <c r="L88" s="11">
        <f t="shared" si="30"/>
        <v>3</v>
      </c>
      <c r="M88" s="11">
        <f t="shared" si="36"/>
        <v>4.5</v>
      </c>
      <c r="N88" s="11">
        <f t="shared" si="31"/>
        <v>4</v>
      </c>
      <c r="O88" s="11">
        <f t="shared" si="37"/>
        <v>7.8400000000000007</v>
      </c>
      <c r="P88" s="19">
        <f t="shared" si="38"/>
        <v>0.66689655172413798</v>
      </c>
      <c r="Q88" s="11">
        <f t="shared" si="32"/>
        <v>3</v>
      </c>
      <c r="R88" s="11">
        <f t="shared" si="39"/>
        <v>4.5</v>
      </c>
      <c r="S88" s="11">
        <f t="shared" si="33"/>
        <v>20</v>
      </c>
      <c r="T88" s="11">
        <f t="shared" si="40"/>
        <v>5.8800000000000008</v>
      </c>
      <c r="U88" s="19">
        <f t="shared" si="41"/>
        <v>0.74177777777777787</v>
      </c>
    </row>
    <row r="89" spans="1:28" ht="13.8" thickBot="1" x14ac:dyDescent="0.3">
      <c r="A89" s="12">
        <v>84</v>
      </c>
      <c r="B89" s="21" t="s">
        <v>124</v>
      </c>
      <c r="C89" s="13">
        <v>10</v>
      </c>
      <c r="D89" s="13">
        <v>20</v>
      </c>
      <c r="E89" s="13">
        <v>30</v>
      </c>
      <c r="F89" s="14">
        <v>73</v>
      </c>
      <c r="G89" s="15">
        <v>89</v>
      </c>
      <c r="H89" s="11">
        <f t="shared" si="28"/>
        <v>4</v>
      </c>
      <c r="I89" s="11">
        <f t="shared" si="34"/>
        <v>10</v>
      </c>
      <c r="J89" s="11">
        <f t="shared" si="35"/>
        <v>8.76</v>
      </c>
      <c r="K89" s="19">
        <f t="shared" si="29"/>
        <v>0.87538461538461532</v>
      </c>
      <c r="L89" s="11">
        <f t="shared" si="30"/>
        <v>3</v>
      </c>
      <c r="M89" s="11">
        <f t="shared" si="36"/>
        <v>5</v>
      </c>
      <c r="N89" s="11">
        <f t="shared" si="31"/>
        <v>5</v>
      </c>
      <c r="O89" s="11">
        <f t="shared" si="37"/>
        <v>11.68</v>
      </c>
      <c r="P89" s="19">
        <f t="shared" si="38"/>
        <v>0.8510344827586207</v>
      </c>
      <c r="Q89" s="11">
        <f t="shared" si="32"/>
        <v>3</v>
      </c>
      <c r="R89" s="11">
        <f t="shared" si="39"/>
        <v>5</v>
      </c>
      <c r="S89" s="11">
        <f t="shared" si="33"/>
        <v>25</v>
      </c>
      <c r="T89" s="11">
        <f t="shared" si="40"/>
        <v>8.76</v>
      </c>
      <c r="U89" s="19">
        <f t="shared" si="41"/>
        <v>0.92799999999999994</v>
      </c>
    </row>
    <row r="90" spans="1:28" ht="14.4" thickBot="1" x14ac:dyDescent="0.3">
      <c r="A90" s="12">
        <v>85</v>
      </c>
      <c r="B90" s="21" t="s">
        <v>125</v>
      </c>
      <c r="C90" s="13">
        <v>9</v>
      </c>
      <c r="D90" s="13">
        <v>17</v>
      </c>
      <c r="E90" s="13">
        <v>23</v>
      </c>
      <c r="F90" s="14">
        <v>44</v>
      </c>
      <c r="G90" s="15">
        <v>66</v>
      </c>
      <c r="H90" s="11">
        <f t="shared" si="28"/>
        <v>3.6</v>
      </c>
      <c r="I90" s="11">
        <f t="shared" si="34"/>
        <v>8.5</v>
      </c>
      <c r="J90" s="11">
        <f t="shared" si="35"/>
        <v>5.28</v>
      </c>
      <c r="K90" s="19">
        <f t="shared" si="29"/>
        <v>0.66846153846153844</v>
      </c>
      <c r="L90" s="11">
        <f t="shared" si="30"/>
        <v>2.7</v>
      </c>
      <c r="M90" s="11">
        <f t="shared" si="36"/>
        <v>4.25</v>
      </c>
      <c r="N90" s="11">
        <f t="shared" si="31"/>
        <v>3.8333333333333335</v>
      </c>
      <c r="O90" s="11">
        <f t="shared" si="37"/>
        <v>7.0400000000000009</v>
      </c>
      <c r="P90" s="19">
        <f t="shared" si="38"/>
        <v>0.61459770114942536</v>
      </c>
      <c r="Q90" s="11">
        <f t="shared" si="32"/>
        <v>2.7</v>
      </c>
      <c r="R90" s="11">
        <f t="shared" si="39"/>
        <v>4.25</v>
      </c>
      <c r="S90" s="11">
        <f t="shared" si="33"/>
        <v>19.166666666666668</v>
      </c>
      <c r="T90" s="11">
        <f t="shared" si="40"/>
        <v>5.28</v>
      </c>
      <c r="U90" s="19">
        <f t="shared" si="41"/>
        <v>0.69770370370370371</v>
      </c>
      <c r="W90" s="22" t="s">
        <v>28</v>
      </c>
      <c r="X90" s="23" t="s">
        <v>29</v>
      </c>
      <c r="Y90" s="24" t="s">
        <v>30</v>
      </c>
      <c r="Z90" s="24" t="s">
        <v>31</v>
      </c>
      <c r="AA90" s="24" t="s">
        <v>32</v>
      </c>
      <c r="AB90" s="23" t="s">
        <v>33</v>
      </c>
    </row>
    <row r="91" spans="1:28" ht="14.4" thickBot="1" x14ac:dyDescent="0.3">
      <c r="A91" s="12">
        <v>86</v>
      </c>
      <c r="B91" s="21" t="s">
        <v>126</v>
      </c>
      <c r="C91" s="13">
        <v>9</v>
      </c>
      <c r="D91" s="13">
        <v>16</v>
      </c>
      <c r="E91" s="13">
        <v>23</v>
      </c>
      <c r="F91" s="14">
        <v>30</v>
      </c>
      <c r="G91" s="15">
        <v>60</v>
      </c>
      <c r="H91" s="11">
        <f t="shared" si="28"/>
        <v>3.6</v>
      </c>
      <c r="I91" s="11">
        <f t="shared" si="34"/>
        <v>8</v>
      </c>
      <c r="J91" s="11">
        <f t="shared" si="35"/>
        <v>3.6</v>
      </c>
      <c r="K91" s="19">
        <f t="shared" si="29"/>
        <v>0.58461538461538454</v>
      </c>
      <c r="L91" s="11">
        <f t="shared" si="30"/>
        <v>2.7</v>
      </c>
      <c r="M91" s="11">
        <f t="shared" si="36"/>
        <v>4</v>
      </c>
      <c r="N91" s="11">
        <f t="shared" si="31"/>
        <v>3.8333333333333335</v>
      </c>
      <c r="O91" s="11">
        <f t="shared" si="37"/>
        <v>4.8</v>
      </c>
      <c r="P91" s="19">
        <f t="shared" si="38"/>
        <v>0.52873563218390796</v>
      </c>
      <c r="Q91" s="11">
        <f t="shared" si="32"/>
        <v>2.7</v>
      </c>
      <c r="R91" s="11">
        <f t="shared" si="39"/>
        <v>4</v>
      </c>
      <c r="S91" s="11">
        <f t="shared" si="33"/>
        <v>19.166666666666668</v>
      </c>
      <c r="T91" s="11">
        <f t="shared" si="40"/>
        <v>3.6</v>
      </c>
      <c r="U91" s="19">
        <f t="shared" si="41"/>
        <v>0.65481481481481485</v>
      </c>
      <c r="W91" s="46" t="s">
        <v>25</v>
      </c>
      <c r="X91" s="25" t="s">
        <v>2</v>
      </c>
      <c r="Y91" s="25">
        <v>4</v>
      </c>
      <c r="Z91" s="29">
        <f>H117</f>
        <v>3.8702702702702725</v>
      </c>
      <c r="AA91" s="26">
        <v>0.04</v>
      </c>
      <c r="AB91" s="49">
        <f>K117</f>
        <v>0.74296604296604274</v>
      </c>
    </row>
    <row r="92" spans="1:28" ht="14.4" thickBot="1" x14ac:dyDescent="0.3">
      <c r="A92" s="12">
        <v>87</v>
      </c>
      <c r="B92" s="21" t="s">
        <v>127</v>
      </c>
      <c r="C92" s="13">
        <v>9</v>
      </c>
      <c r="D92" s="13">
        <v>19</v>
      </c>
      <c r="E92" s="13">
        <v>29</v>
      </c>
      <c r="F92" s="14">
        <v>59</v>
      </c>
      <c r="G92" s="15">
        <v>80</v>
      </c>
      <c r="H92" s="11">
        <f t="shared" si="28"/>
        <v>3.6</v>
      </c>
      <c r="I92" s="11">
        <f t="shared" si="34"/>
        <v>9.5</v>
      </c>
      <c r="J92" s="11">
        <f t="shared" si="35"/>
        <v>7.080000000000001</v>
      </c>
      <c r="K92" s="19">
        <f t="shared" si="29"/>
        <v>0.77615384615384619</v>
      </c>
      <c r="L92" s="11">
        <f t="shared" si="30"/>
        <v>2.7</v>
      </c>
      <c r="M92" s="11">
        <f t="shared" si="36"/>
        <v>4.75</v>
      </c>
      <c r="N92" s="11">
        <f t="shared" si="31"/>
        <v>4.833333333333333</v>
      </c>
      <c r="O92" s="11">
        <f t="shared" si="37"/>
        <v>9.4400000000000013</v>
      </c>
      <c r="P92" s="19">
        <f t="shared" si="38"/>
        <v>0.74908045977011506</v>
      </c>
      <c r="Q92" s="11">
        <f t="shared" si="32"/>
        <v>2.7</v>
      </c>
      <c r="R92" s="11">
        <f t="shared" si="39"/>
        <v>4.75</v>
      </c>
      <c r="S92" s="11">
        <f t="shared" si="33"/>
        <v>24.166666666666668</v>
      </c>
      <c r="T92" s="11">
        <f t="shared" si="40"/>
        <v>7.080000000000001</v>
      </c>
      <c r="U92" s="19">
        <f t="shared" si="41"/>
        <v>0.85992592592592587</v>
      </c>
      <c r="W92" s="47"/>
      <c r="X92" s="25" t="s">
        <v>34</v>
      </c>
      <c r="Y92" s="25">
        <v>12</v>
      </c>
      <c r="Z92" s="29">
        <f>J117</f>
        <v>6.6270270270270286</v>
      </c>
      <c r="AA92" s="26">
        <v>0.12</v>
      </c>
      <c r="AB92" s="50"/>
    </row>
    <row r="93" spans="1:28" ht="14.4" thickBot="1" x14ac:dyDescent="0.3">
      <c r="A93" s="12">
        <v>88</v>
      </c>
      <c r="B93" s="21" t="s">
        <v>128</v>
      </c>
      <c r="C93" s="13">
        <v>10</v>
      </c>
      <c r="D93" s="13">
        <v>20</v>
      </c>
      <c r="E93" s="13">
        <v>30</v>
      </c>
      <c r="F93" s="14">
        <v>85</v>
      </c>
      <c r="G93" s="15">
        <v>94</v>
      </c>
      <c r="H93" s="11">
        <f t="shared" si="28"/>
        <v>4</v>
      </c>
      <c r="I93" s="11">
        <f t="shared" si="34"/>
        <v>10</v>
      </c>
      <c r="J93" s="11">
        <f t="shared" si="35"/>
        <v>10.199999999999999</v>
      </c>
      <c r="K93" s="19">
        <f t="shared" si="29"/>
        <v>0.93076923076923079</v>
      </c>
      <c r="L93" s="11">
        <f t="shared" si="30"/>
        <v>3</v>
      </c>
      <c r="M93" s="11">
        <f t="shared" si="36"/>
        <v>5</v>
      </c>
      <c r="N93" s="11">
        <f t="shared" si="31"/>
        <v>5</v>
      </c>
      <c r="O93" s="11">
        <f t="shared" si="37"/>
        <v>13.6</v>
      </c>
      <c r="P93" s="19">
        <f t="shared" si="38"/>
        <v>0.91724137931034488</v>
      </c>
      <c r="Q93" s="11">
        <f t="shared" si="32"/>
        <v>3</v>
      </c>
      <c r="R93" s="11">
        <f t="shared" si="39"/>
        <v>5</v>
      </c>
      <c r="S93" s="11">
        <f t="shared" si="33"/>
        <v>25</v>
      </c>
      <c r="T93" s="11">
        <f t="shared" si="40"/>
        <v>10.199999999999999</v>
      </c>
      <c r="U93" s="19">
        <f t="shared" si="41"/>
        <v>0.96000000000000008</v>
      </c>
      <c r="W93" s="48"/>
      <c r="X93" s="25" t="s">
        <v>4</v>
      </c>
      <c r="Y93" s="25">
        <v>10</v>
      </c>
      <c r="Z93" s="29">
        <f>I117</f>
        <v>8.8198198198198199</v>
      </c>
      <c r="AA93" s="26">
        <v>0.1</v>
      </c>
      <c r="AB93" s="51"/>
    </row>
    <row r="94" spans="1:28" ht="14.4" thickBot="1" x14ac:dyDescent="0.3">
      <c r="A94" s="12">
        <v>89</v>
      </c>
      <c r="B94" s="21" t="s">
        <v>129</v>
      </c>
      <c r="C94" s="13">
        <v>10</v>
      </c>
      <c r="D94" s="13">
        <v>14</v>
      </c>
      <c r="E94" s="13">
        <v>22</v>
      </c>
      <c r="F94" s="14">
        <v>37</v>
      </c>
      <c r="G94" s="15">
        <v>60</v>
      </c>
      <c r="H94" s="11">
        <f t="shared" si="28"/>
        <v>4</v>
      </c>
      <c r="I94" s="11">
        <f t="shared" si="34"/>
        <v>7</v>
      </c>
      <c r="J94" s="11">
        <f t="shared" si="35"/>
        <v>4.4400000000000004</v>
      </c>
      <c r="K94" s="19">
        <f t="shared" si="29"/>
        <v>0.59384615384615391</v>
      </c>
      <c r="L94" s="11">
        <f t="shared" si="30"/>
        <v>3</v>
      </c>
      <c r="M94" s="11">
        <f t="shared" si="36"/>
        <v>3.5</v>
      </c>
      <c r="N94" s="11">
        <f t="shared" si="31"/>
        <v>3.6666666666666665</v>
      </c>
      <c r="O94" s="11">
        <f t="shared" si="37"/>
        <v>5.92</v>
      </c>
      <c r="P94" s="19">
        <f t="shared" si="38"/>
        <v>0.55471264367816087</v>
      </c>
      <c r="Q94" s="11">
        <f t="shared" si="32"/>
        <v>3</v>
      </c>
      <c r="R94" s="11">
        <f t="shared" si="39"/>
        <v>3.5</v>
      </c>
      <c r="S94" s="11">
        <f t="shared" si="33"/>
        <v>18.333333333333332</v>
      </c>
      <c r="T94" s="11">
        <f t="shared" si="40"/>
        <v>4.4400000000000004</v>
      </c>
      <c r="U94" s="19">
        <f t="shared" si="41"/>
        <v>0.6505185185185185</v>
      </c>
      <c r="W94" s="46" t="s">
        <v>26</v>
      </c>
      <c r="X94" s="25" t="s">
        <v>2</v>
      </c>
      <c r="Y94" s="25">
        <v>3</v>
      </c>
      <c r="Z94" s="29">
        <f>L117</f>
        <v>2.9027027027027006</v>
      </c>
      <c r="AA94" s="26">
        <v>0.03</v>
      </c>
      <c r="AB94" s="49">
        <f>P117</f>
        <v>0.70746608677643164</v>
      </c>
    </row>
    <row r="95" spans="1:28" ht="14.4" thickBot="1" x14ac:dyDescent="0.3">
      <c r="A95" s="12">
        <v>90</v>
      </c>
      <c r="B95" s="21" t="s">
        <v>130</v>
      </c>
      <c r="C95" s="13">
        <v>9</v>
      </c>
      <c r="D95" s="13">
        <v>20</v>
      </c>
      <c r="E95" s="13">
        <v>30</v>
      </c>
      <c r="F95" s="14">
        <v>63</v>
      </c>
      <c r="G95" s="15">
        <v>84</v>
      </c>
      <c r="H95" s="11">
        <f t="shared" si="28"/>
        <v>3.6</v>
      </c>
      <c r="I95" s="11">
        <f t="shared" si="34"/>
        <v>10</v>
      </c>
      <c r="J95" s="11">
        <f t="shared" si="35"/>
        <v>7.56</v>
      </c>
      <c r="K95" s="19">
        <f t="shared" si="29"/>
        <v>0.81384615384615389</v>
      </c>
      <c r="L95" s="11">
        <f t="shared" si="30"/>
        <v>2.7</v>
      </c>
      <c r="M95" s="11">
        <f t="shared" si="36"/>
        <v>5</v>
      </c>
      <c r="N95" s="11">
        <f t="shared" si="31"/>
        <v>5</v>
      </c>
      <c r="O95" s="11">
        <f t="shared" si="37"/>
        <v>10.08</v>
      </c>
      <c r="P95" s="19">
        <f t="shared" si="38"/>
        <v>0.78551724137931034</v>
      </c>
      <c r="Q95" s="11">
        <f t="shared" si="32"/>
        <v>2.7</v>
      </c>
      <c r="R95" s="11">
        <f t="shared" si="39"/>
        <v>5</v>
      </c>
      <c r="S95" s="11">
        <f t="shared" si="33"/>
        <v>25</v>
      </c>
      <c r="T95" s="11">
        <f t="shared" si="40"/>
        <v>7.56</v>
      </c>
      <c r="U95" s="19">
        <f t="shared" si="41"/>
        <v>0.89466666666666683</v>
      </c>
      <c r="W95" s="47"/>
      <c r="X95" s="25" t="s">
        <v>34</v>
      </c>
      <c r="Y95" s="25">
        <v>16</v>
      </c>
      <c r="Z95" s="29">
        <f>O117</f>
        <v>8.8360360360360399</v>
      </c>
      <c r="AA95" s="26">
        <v>0.16</v>
      </c>
      <c r="AB95" s="50"/>
    </row>
    <row r="96" spans="1:28" ht="14.4" thickBot="1" x14ac:dyDescent="0.3">
      <c r="A96" s="12">
        <v>91</v>
      </c>
      <c r="B96" s="21" t="s">
        <v>131</v>
      </c>
      <c r="C96" s="13">
        <v>10</v>
      </c>
      <c r="D96" s="13">
        <v>20</v>
      </c>
      <c r="E96" s="13">
        <v>30</v>
      </c>
      <c r="F96" s="14">
        <v>60</v>
      </c>
      <c r="G96" s="15">
        <v>84</v>
      </c>
      <c r="H96" s="11">
        <f t="shared" si="28"/>
        <v>4</v>
      </c>
      <c r="I96" s="11">
        <f t="shared" si="34"/>
        <v>10</v>
      </c>
      <c r="J96" s="11">
        <f t="shared" si="35"/>
        <v>7.2</v>
      </c>
      <c r="K96" s="19">
        <f t="shared" si="29"/>
        <v>0.81538461538461537</v>
      </c>
      <c r="L96" s="11">
        <f t="shared" si="30"/>
        <v>3</v>
      </c>
      <c r="M96" s="11">
        <f t="shared" si="36"/>
        <v>5</v>
      </c>
      <c r="N96" s="11">
        <f t="shared" si="31"/>
        <v>5</v>
      </c>
      <c r="O96" s="11">
        <f t="shared" si="37"/>
        <v>9.6</v>
      </c>
      <c r="P96" s="19">
        <f t="shared" si="38"/>
        <v>0.77931034482758621</v>
      </c>
      <c r="Q96" s="11">
        <f t="shared" si="32"/>
        <v>3</v>
      </c>
      <c r="R96" s="11">
        <f t="shared" si="39"/>
        <v>5</v>
      </c>
      <c r="S96" s="11">
        <f t="shared" si="33"/>
        <v>25</v>
      </c>
      <c r="T96" s="11">
        <f t="shared" si="40"/>
        <v>7.2</v>
      </c>
      <c r="U96" s="19">
        <f t="shared" si="41"/>
        <v>0.89333333333333342</v>
      </c>
      <c r="W96" s="47"/>
      <c r="X96" s="25" t="s">
        <v>4</v>
      </c>
      <c r="Y96" s="25">
        <v>5</v>
      </c>
      <c r="Z96" s="29">
        <f>M117</f>
        <v>4.4099099099099099</v>
      </c>
      <c r="AA96" s="26">
        <v>0.05</v>
      </c>
      <c r="AB96" s="50"/>
    </row>
    <row r="97" spans="1:28" ht="14.4" thickBot="1" x14ac:dyDescent="0.3">
      <c r="A97" s="12">
        <v>92</v>
      </c>
      <c r="B97" s="21" t="s">
        <v>132</v>
      </c>
      <c r="C97" s="13">
        <v>8</v>
      </c>
      <c r="D97" s="13">
        <v>18</v>
      </c>
      <c r="E97" s="13">
        <v>29</v>
      </c>
      <c r="F97" s="14">
        <v>63</v>
      </c>
      <c r="G97" s="15">
        <v>80</v>
      </c>
      <c r="H97" s="11">
        <f t="shared" ref="H97:H116" si="42">C97*$H$4/$C$4</f>
        <v>3.2</v>
      </c>
      <c r="I97" s="11">
        <f t="shared" ref="I97:I116" si="43">D97*$I$4/$D$4</f>
        <v>9</v>
      </c>
      <c r="J97" s="11">
        <f t="shared" ref="J97:J116" si="44">(F97*$F$4/100)*$J$4/$F$4</f>
        <v>7.56</v>
      </c>
      <c r="K97" s="19">
        <f t="shared" ref="K97:K116" si="45">SUM(H97:J97)/$K$4</f>
        <v>0.7599999999999999</v>
      </c>
      <c r="L97" s="11">
        <f t="shared" ref="L97:L116" si="46">C97*$L$4/$C$4</f>
        <v>2.4</v>
      </c>
      <c r="M97" s="11">
        <f t="shared" ref="M97:M116" si="47">D97*$M$4/$D$4</f>
        <v>4.5</v>
      </c>
      <c r="N97" s="11">
        <f t="shared" ref="N97:N116" si="48">E97*$N$4/$E$4</f>
        <v>4.833333333333333</v>
      </c>
      <c r="O97" s="11">
        <f t="shared" ref="O97:O116" si="49">(F97*$F$4/100)*$O$4/$F$4</f>
        <v>10.08</v>
      </c>
      <c r="P97" s="19">
        <f t="shared" ref="P97:P116" si="50">(L97+M97+N97+O97)/$P$4</f>
        <v>0.75218390804597701</v>
      </c>
      <c r="Q97" s="11">
        <f t="shared" ref="Q97:Q116" si="51">C97*$Q$4/$C$4</f>
        <v>2.4</v>
      </c>
      <c r="R97" s="11">
        <f t="shared" ref="R97:R116" si="52">D97*$R$4/$D$4</f>
        <v>4.5</v>
      </c>
      <c r="S97" s="11">
        <f t="shared" ref="S97:S116" si="53">E97*$S$4/$E$4</f>
        <v>24.166666666666668</v>
      </c>
      <c r="T97" s="11">
        <f t="shared" ref="T97:T116" si="54">(F97*$F$4/100)*$T$4/$F$4</f>
        <v>7.56</v>
      </c>
      <c r="U97" s="19">
        <f t="shared" ref="U97:U116" si="55">(Q97+R97+S97+T97)/$U$4</f>
        <v>0.85837037037037045</v>
      </c>
      <c r="W97" s="48"/>
      <c r="X97" s="25" t="s">
        <v>3</v>
      </c>
      <c r="Y97" s="25">
        <v>5</v>
      </c>
      <c r="Z97" s="29">
        <f>N117</f>
        <v>4.3678678678678677</v>
      </c>
      <c r="AA97" s="26">
        <v>0.05</v>
      </c>
      <c r="AB97" s="51"/>
    </row>
    <row r="98" spans="1:28" ht="14.4" thickBot="1" x14ac:dyDescent="0.3">
      <c r="A98" s="12">
        <v>93</v>
      </c>
      <c r="B98" s="21" t="s">
        <v>133</v>
      </c>
      <c r="C98" s="13">
        <v>9</v>
      </c>
      <c r="D98" s="13">
        <v>11</v>
      </c>
      <c r="E98" s="13">
        <v>10</v>
      </c>
      <c r="F98" s="14">
        <v>28</v>
      </c>
      <c r="G98" s="15">
        <v>41</v>
      </c>
      <c r="H98" s="11">
        <f t="shared" si="42"/>
        <v>3.6</v>
      </c>
      <c r="I98" s="11">
        <f t="shared" si="43"/>
        <v>5.5</v>
      </c>
      <c r="J98" s="11">
        <f t="shared" si="44"/>
        <v>3.3599999999999994</v>
      </c>
      <c r="K98" s="19">
        <f t="shared" si="45"/>
        <v>0.47923076923076918</v>
      </c>
      <c r="L98" s="11">
        <f t="shared" si="46"/>
        <v>2.7</v>
      </c>
      <c r="M98" s="11">
        <f t="shared" si="47"/>
        <v>2.75</v>
      </c>
      <c r="N98" s="11">
        <f t="shared" si="48"/>
        <v>1.6666666666666667</v>
      </c>
      <c r="O98" s="11">
        <f t="shared" si="49"/>
        <v>4.4799999999999995</v>
      </c>
      <c r="P98" s="19">
        <f t="shared" si="50"/>
        <v>0.3998850574712644</v>
      </c>
      <c r="Q98" s="11">
        <f t="shared" si="51"/>
        <v>2.7</v>
      </c>
      <c r="R98" s="11">
        <f t="shared" si="52"/>
        <v>2.75</v>
      </c>
      <c r="S98" s="11">
        <f t="shared" si="53"/>
        <v>8.3333333333333339</v>
      </c>
      <c r="T98" s="11">
        <f t="shared" si="54"/>
        <v>3.3599999999999994</v>
      </c>
      <c r="U98" s="19">
        <f t="shared" si="55"/>
        <v>0.380962962962963</v>
      </c>
      <c r="W98" s="46" t="s">
        <v>27</v>
      </c>
      <c r="X98" s="27" t="s">
        <v>2</v>
      </c>
      <c r="Y98" s="27">
        <v>3</v>
      </c>
      <c r="Z98" s="30">
        <f>Q117</f>
        <v>2.9027027027027006</v>
      </c>
      <c r="AA98" s="28">
        <v>0.05</v>
      </c>
      <c r="AB98" s="49">
        <f>U117</f>
        <v>0.79508842175508831</v>
      </c>
    </row>
    <row r="99" spans="1:28" ht="14.4" thickBot="1" x14ac:dyDescent="0.3">
      <c r="A99" s="12">
        <v>94</v>
      </c>
      <c r="B99" s="21" t="s">
        <v>134</v>
      </c>
      <c r="C99" s="13">
        <v>9</v>
      </c>
      <c r="D99" s="13">
        <v>15</v>
      </c>
      <c r="E99" s="13">
        <v>22</v>
      </c>
      <c r="F99" s="14">
        <v>47</v>
      </c>
      <c r="G99" s="15">
        <v>64</v>
      </c>
      <c r="H99" s="11">
        <f t="shared" si="42"/>
        <v>3.6</v>
      </c>
      <c r="I99" s="11">
        <f t="shared" si="43"/>
        <v>7.5</v>
      </c>
      <c r="J99" s="11">
        <f t="shared" si="44"/>
        <v>5.6400000000000006</v>
      </c>
      <c r="K99" s="19">
        <f t="shared" si="45"/>
        <v>0.64384615384615396</v>
      </c>
      <c r="L99" s="11">
        <f t="shared" si="46"/>
        <v>2.7</v>
      </c>
      <c r="M99" s="11">
        <f t="shared" si="47"/>
        <v>3.75</v>
      </c>
      <c r="N99" s="11">
        <f t="shared" si="48"/>
        <v>3.6666666666666665</v>
      </c>
      <c r="O99" s="11">
        <f t="shared" si="49"/>
        <v>7.5200000000000005</v>
      </c>
      <c r="P99" s="19">
        <f t="shared" si="50"/>
        <v>0.60816091954022988</v>
      </c>
      <c r="Q99" s="11">
        <f t="shared" si="51"/>
        <v>2.7</v>
      </c>
      <c r="R99" s="11">
        <f t="shared" si="52"/>
        <v>3.75</v>
      </c>
      <c r="S99" s="11">
        <f t="shared" si="53"/>
        <v>18.333333333333332</v>
      </c>
      <c r="T99" s="11">
        <f t="shared" si="54"/>
        <v>5.6400000000000006</v>
      </c>
      <c r="U99" s="19">
        <f t="shared" si="55"/>
        <v>0.67607407407407405</v>
      </c>
      <c r="W99" s="47"/>
      <c r="X99" s="25" t="s">
        <v>3</v>
      </c>
      <c r="Y99" s="25">
        <v>25</v>
      </c>
      <c r="Z99" s="29">
        <f>S117</f>
        <v>21.839339339339343</v>
      </c>
      <c r="AA99" s="26">
        <v>0.25</v>
      </c>
      <c r="AB99" s="50"/>
    </row>
    <row r="100" spans="1:28" ht="14.4" thickBot="1" x14ac:dyDescent="0.3">
      <c r="A100" s="12">
        <v>95</v>
      </c>
      <c r="B100" s="21" t="s">
        <v>135</v>
      </c>
      <c r="C100" s="13">
        <v>10</v>
      </c>
      <c r="D100" s="13">
        <v>20</v>
      </c>
      <c r="E100" s="13">
        <v>30</v>
      </c>
      <c r="F100" s="14">
        <v>90</v>
      </c>
      <c r="G100" s="15">
        <v>96</v>
      </c>
      <c r="H100" s="11">
        <f t="shared" si="42"/>
        <v>4</v>
      </c>
      <c r="I100" s="11">
        <f t="shared" si="43"/>
        <v>10</v>
      </c>
      <c r="J100" s="11">
        <f t="shared" si="44"/>
        <v>10.8</v>
      </c>
      <c r="K100" s="19">
        <f t="shared" si="45"/>
        <v>0.9538461538461539</v>
      </c>
      <c r="L100" s="11">
        <f t="shared" si="46"/>
        <v>3</v>
      </c>
      <c r="M100" s="11">
        <f t="shared" si="47"/>
        <v>5</v>
      </c>
      <c r="N100" s="11">
        <f t="shared" si="48"/>
        <v>5</v>
      </c>
      <c r="O100" s="11">
        <f t="shared" si="49"/>
        <v>14.4</v>
      </c>
      <c r="P100" s="19">
        <f t="shared" si="50"/>
        <v>0.94482758620689655</v>
      </c>
      <c r="Q100" s="11">
        <f t="shared" si="51"/>
        <v>3</v>
      </c>
      <c r="R100" s="11">
        <f t="shared" si="52"/>
        <v>5</v>
      </c>
      <c r="S100" s="11">
        <f t="shared" si="53"/>
        <v>25</v>
      </c>
      <c r="T100" s="11">
        <f t="shared" si="54"/>
        <v>10.8</v>
      </c>
      <c r="U100" s="19">
        <f t="shared" si="55"/>
        <v>0.97333333333333327</v>
      </c>
      <c r="W100" s="47"/>
      <c r="X100" s="25" t="s">
        <v>4</v>
      </c>
      <c r="Y100" s="25">
        <v>5</v>
      </c>
      <c r="Z100" s="29">
        <f>R117</f>
        <v>4.4099099099099099</v>
      </c>
      <c r="AA100" s="26">
        <v>0.05</v>
      </c>
      <c r="AB100" s="50"/>
    </row>
    <row r="101" spans="1:28" ht="14.4" thickBot="1" x14ac:dyDescent="0.3">
      <c r="A101" s="12">
        <v>96</v>
      </c>
      <c r="B101" s="21" t="s">
        <v>136</v>
      </c>
      <c r="C101" s="13">
        <v>10</v>
      </c>
      <c r="D101" s="13">
        <v>14</v>
      </c>
      <c r="E101" s="13">
        <v>23</v>
      </c>
      <c r="F101" s="14">
        <v>34</v>
      </c>
      <c r="G101" s="15">
        <v>60</v>
      </c>
      <c r="H101" s="11">
        <f t="shared" si="42"/>
        <v>4</v>
      </c>
      <c r="I101" s="11">
        <f t="shared" si="43"/>
        <v>7</v>
      </c>
      <c r="J101" s="11">
        <f t="shared" si="44"/>
        <v>4.08</v>
      </c>
      <c r="K101" s="19">
        <f t="shared" si="45"/>
        <v>0.57999999999999996</v>
      </c>
      <c r="L101" s="11">
        <f t="shared" si="46"/>
        <v>3</v>
      </c>
      <c r="M101" s="11">
        <f t="shared" si="47"/>
        <v>3.5</v>
      </c>
      <c r="N101" s="11">
        <f t="shared" si="48"/>
        <v>3.8333333333333335</v>
      </c>
      <c r="O101" s="11">
        <f t="shared" si="49"/>
        <v>5.4399999999999995</v>
      </c>
      <c r="P101" s="19">
        <f t="shared" si="50"/>
        <v>0.54390804597701148</v>
      </c>
      <c r="Q101" s="11">
        <f t="shared" si="51"/>
        <v>3</v>
      </c>
      <c r="R101" s="11">
        <f t="shared" si="52"/>
        <v>3.5</v>
      </c>
      <c r="S101" s="11">
        <f t="shared" si="53"/>
        <v>19.166666666666668</v>
      </c>
      <c r="T101" s="11">
        <f t="shared" si="54"/>
        <v>4.08</v>
      </c>
      <c r="U101" s="19">
        <f t="shared" si="55"/>
        <v>0.66103703703703709</v>
      </c>
      <c r="W101" s="52"/>
      <c r="X101" s="25" t="s">
        <v>34</v>
      </c>
      <c r="Y101" s="25">
        <v>12</v>
      </c>
      <c r="Z101" s="29">
        <f>T117</f>
        <v>6.6270270270270286</v>
      </c>
      <c r="AA101" s="26">
        <v>0.12</v>
      </c>
      <c r="AB101" s="53"/>
    </row>
    <row r="102" spans="1:28" ht="13.2" x14ac:dyDescent="0.25">
      <c r="A102" s="12">
        <v>97</v>
      </c>
      <c r="B102" s="21" t="s">
        <v>137</v>
      </c>
      <c r="C102" s="13">
        <v>9</v>
      </c>
      <c r="D102" s="13">
        <v>17</v>
      </c>
      <c r="E102" s="13">
        <v>22</v>
      </c>
      <c r="F102" s="14">
        <v>37</v>
      </c>
      <c r="G102" s="15">
        <v>62</v>
      </c>
      <c r="H102" s="11">
        <f t="shared" si="42"/>
        <v>3.6</v>
      </c>
      <c r="I102" s="11">
        <f t="shared" si="43"/>
        <v>8.5</v>
      </c>
      <c r="J102" s="11">
        <f t="shared" si="44"/>
        <v>4.4400000000000004</v>
      </c>
      <c r="K102" s="19">
        <f t="shared" si="45"/>
        <v>0.63615384615384607</v>
      </c>
      <c r="L102" s="11">
        <f t="shared" si="46"/>
        <v>2.7</v>
      </c>
      <c r="M102" s="11">
        <f t="shared" si="47"/>
        <v>4.25</v>
      </c>
      <c r="N102" s="11">
        <f t="shared" si="48"/>
        <v>3.6666666666666665</v>
      </c>
      <c r="O102" s="11">
        <f t="shared" si="49"/>
        <v>5.92</v>
      </c>
      <c r="P102" s="19">
        <f t="shared" si="50"/>
        <v>0.5702298850574713</v>
      </c>
      <c r="Q102" s="11">
        <f t="shared" si="51"/>
        <v>2.7</v>
      </c>
      <c r="R102" s="11">
        <f t="shared" si="52"/>
        <v>4.25</v>
      </c>
      <c r="S102" s="11">
        <f t="shared" si="53"/>
        <v>18.333333333333332</v>
      </c>
      <c r="T102" s="11">
        <f t="shared" si="54"/>
        <v>4.4400000000000004</v>
      </c>
      <c r="U102" s="19">
        <f t="shared" si="55"/>
        <v>0.6605185185185185</v>
      </c>
    </row>
    <row r="103" spans="1:28" ht="13.2" x14ac:dyDescent="0.25">
      <c r="A103" s="12">
        <v>98</v>
      </c>
      <c r="B103" s="21" t="s">
        <v>138</v>
      </c>
      <c r="C103" s="13">
        <v>8</v>
      </c>
      <c r="D103" s="13">
        <v>18</v>
      </c>
      <c r="E103" s="13">
        <v>20</v>
      </c>
      <c r="F103" s="14">
        <v>36</v>
      </c>
      <c r="G103" s="15">
        <v>60</v>
      </c>
      <c r="H103" s="11">
        <f t="shared" si="42"/>
        <v>3.2</v>
      </c>
      <c r="I103" s="11">
        <f t="shared" si="43"/>
        <v>9</v>
      </c>
      <c r="J103" s="11">
        <f t="shared" si="44"/>
        <v>4.32</v>
      </c>
      <c r="K103" s="19">
        <f t="shared" si="45"/>
        <v>0.63538461538461533</v>
      </c>
      <c r="L103" s="11">
        <f t="shared" si="46"/>
        <v>2.4</v>
      </c>
      <c r="M103" s="11">
        <f t="shared" si="47"/>
        <v>4.5</v>
      </c>
      <c r="N103" s="11">
        <f t="shared" si="48"/>
        <v>3.3333333333333335</v>
      </c>
      <c r="O103" s="11">
        <f t="shared" si="49"/>
        <v>5.76</v>
      </c>
      <c r="P103" s="19">
        <f t="shared" si="50"/>
        <v>0.55149425287356324</v>
      </c>
      <c r="Q103" s="11">
        <f t="shared" si="51"/>
        <v>2.4</v>
      </c>
      <c r="R103" s="11">
        <f t="shared" si="52"/>
        <v>4.5</v>
      </c>
      <c r="S103" s="11">
        <f t="shared" si="53"/>
        <v>16.666666666666668</v>
      </c>
      <c r="T103" s="11">
        <f t="shared" si="54"/>
        <v>4.32</v>
      </c>
      <c r="U103" s="19">
        <f t="shared" si="55"/>
        <v>0.61970370370370376</v>
      </c>
    </row>
    <row r="104" spans="1:28" ht="13.2" x14ac:dyDescent="0.25">
      <c r="A104" s="12">
        <v>99</v>
      </c>
      <c r="B104" s="21" t="s">
        <v>139</v>
      </c>
      <c r="C104" s="13">
        <v>10</v>
      </c>
      <c r="D104" s="13">
        <v>17</v>
      </c>
      <c r="E104" s="13">
        <v>24</v>
      </c>
      <c r="F104" s="14">
        <v>50</v>
      </c>
      <c r="G104" s="15">
        <v>71</v>
      </c>
      <c r="H104" s="11">
        <f t="shared" si="42"/>
        <v>4</v>
      </c>
      <c r="I104" s="11">
        <f t="shared" si="43"/>
        <v>8.5</v>
      </c>
      <c r="J104" s="11">
        <f t="shared" si="44"/>
        <v>6</v>
      </c>
      <c r="K104" s="19">
        <f t="shared" si="45"/>
        <v>0.71153846153846156</v>
      </c>
      <c r="L104" s="11">
        <f t="shared" si="46"/>
        <v>3</v>
      </c>
      <c r="M104" s="11">
        <f t="shared" si="47"/>
        <v>4.25</v>
      </c>
      <c r="N104" s="11">
        <f t="shared" si="48"/>
        <v>4</v>
      </c>
      <c r="O104" s="11">
        <f t="shared" si="49"/>
        <v>8</v>
      </c>
      <c r="P104" s="19">
        <f t="shared" si="50"/>
        <v>0.66379310344827591</v>
      </c>
      <c r="Q104" s="11">
        <f t="shared" si="51"/>
        <v>3</v>
      </c>
      <c r="R104" s="11">
        <f t="shared" si="52"/>
        <v>4.25</v>
      </c>
      <c r="S104" s="11">
        <f t="shared" si="53"/>
        <v>20</v>
      </c>
      <c r="T104" s="11">
        <f t="shared" si="54"/>
        <v>6</v>
      </c>
      <c r="U104" s="19">
        <f t="shared" si="55"/>
        <v>0.73888888888888893</v>
      </c>
    </row>
    <row r="105" spans="1:28" ht="13.2" x14ac:dyDescent="0.25">
      <c r="A105" s="12">
        <v>100</v>
      </c>
      <c r="B105" s="21" t="s">
        <v>140</v>
      </c>
      <c r="C105" s="13">
        <v>10</v>
      </c>
      <c r="D105" s="13">
        <v>15</v>
      </c>
      <c r="E105" s="13">
        <v>22</v>
      </c>
      <c r="F105" s="14">
        <v>33</v>
      </c>
      <c r="G105" s="15">
        <v>60</v>
      </c>
      <c r="H105" s="11">
        <f t="shared" si="42"/>
        <v>4</v>
      </c>
      <c r="I105" s="11">
        <f t="shared" si="43"/>
        <v>7.5</v>
      </c>
      <c r="J105" s="11">
        <f t="shared" si="44"/>
        <v>3.9599999999999995</v>
      </c>
      <c r="K105" s="19">
        <f t="shared" si="45"/>
        <v>0.59461538461538455</v>
      </c>
      <c r="L105" s="11">
        <f t="shared" si="46"/>
        <v>3</v>
      </c>
      <c r="M105" s="11">
        <f t="shared" si="47"/>
        <v>3.75</v>
      </c>
      <c r="N105" s="11">
        <f t="shared" si="48"/>
        <v>3.6666666666666665</v>
      </c>
      <c r="O105" s="11">
        <f t="shared" si="49"/>
        <v>5.2799999999999994</v>
      </c>
      <c r="P105" s="19">
        <f t="shared" si="50"/>
        <v>0.54126436781609188</v>
      </c>
      <c r="Q105" s="11">
        <f t="shared" si="51"/>
        <v>3</v>
      </c>
      <c r="R105" s="11">
        <f t="shared" si="52"/>
        <v>3.75</v>
      </c>
      <c r="S105" s="11">
        <f t="shared" si="53"/>
        <v>18.333333333333332</v>
      </c>
      <c r="T105" s="11">
        <f t="shared" si="54"/>
        <v>3.9599999999999995</v>
      </c>
      <c r="U105" s="19">
        <f t="shared" si="55"/>
        <v>0.64540740740740743</v>
      </c>
      <c r="W105" s="39"/>
      <c r="X105" s="39"/>
      <c r="Y105" s="39"/>
      <c r="Z105" s="39"/>
      <c r="AA105" s="39"/>
      <c r="AB105" s="39"/>
    </row>
    <row r="106" spans="1:28" ht="13.2" x14ac:dyDescent="0.25">
      <c r="A106" s="12">
        <v>101</v>
      </c>
      <c r="B106" s="21" t="s">
        <v>141</v>
      </c>
      <c r="C106" s="13">
        <v>10</v>
      </c>
      <c r="D106" s="13">
        <v>15</v>
      </c>
      <c r="E106" s="13">
        <v>23</v>
      </c>
      <c r="F106" s="14">
        <v>42</v>
      </c>
      <c r="G106" s="15">
        <v>64</v>
      </c>
      <c r="H106" s="11">
        <f t="shared" si="42"/>
        <v>4</v>
      </c>
      <c r="I106" s="11">
        <f t="shared" si="43"/>
        <v>7.5</v>
      </c>
      <c r="J106" s="11">
        <f t="shared" si="44"/>
        <v>5.0400000000000009</v>
      </c>
      <c r="K106" s="19">
        <f t="shared" si="45"/>
        <v>0.63615384615384607</v>
      </c>
      <c r="L106" s="11">
        <f t="shared" si="46"/>
        <v>3</v>
      </c>
      <c r="M106" s="11">
        <f t="shared" si="47"/>
        <v>3.75</v>
      </c>
      <c r="N106" s="11">
        <f t="shared" si="48"/>
        <v>3.8333333333333335</v>
      </c>
      <c r="O106" s="11">
        <f t="shared" si="49"/>
        <v>6.7200000000000006</v>
      </c>
      <c r="P106" s="19">
        <f t="shared" si="50"/>
        <v>0.59666666666666668</v>
      </c>
      <c r="Q106" s="11">
        <f t="shared" si="51"/>
        <v>3</v>
      </c>
      <c r="R106" s="11">
        <f t="shared" si="52"/>
        <v>3.75</v>
      </c>
      <c r="S106" s="11">
        <f t="shared" si="53"/>
        <v>19.166666666666668</v>
      </c>
      <c r="T106" s="11">
        <f t="shared" si="54"/>
        <v>5.0400000000000009</v>
      </c>
      <c r="U106" s="19">
        <f t="shared" si="55"/>
        <v>0.68792592592592605</v>
      </c>
      <c r="W106" s="39"/>
      <c r="X106" s="39"/>
      <c r="Y106" s="39"/>
      <c r="Z106" s="39"/>
      <c r="AA106" s="39"/>
      <c r="AB106" s="39"/>
    </row>
    <row r="107" spans="1:28" ht="13.2" x14ac:dyDescent="0.25">
      <c r="A107" s="12">
        <v>102</v>
      </c>
      <c r="B107" s="21" t="s">
        <v>142</v>
      </c>
      <c r="C107" s="13">
        <v>10</v>
      </c>
      <c r="D107" s="13">
        <v>14</v>
      </c>
      <c r="E107" s="13">
        <v>24</v>
      </c>
      <c r="F107" s="14">
        <v>46</v>
      </c>
      <c r="G107" s="15">
        <v>66</v>
      </c>
      <c r="H107" s="11">
        <f t="shared" si="42"/>
        <v>4</v>
      </c>
      <c r="I107" s="11">
        <f t="shared" si="43"/>
        <v>7</v>
      </c>
      <c r="J107" s="11">
        <f t="shared" si="44"/>
        <v>5.52</v>
      </c>
      <c r="K107" s="19">
        <f t="shared" si="45"/>
        <v>0.63538461538461533</v>
      </c>
      <c r="L107" s="11">
        <f t="shared" si="46"/>
        <v>3</v>
      </c>
      <c r="M107" s="11">
        <f t="shared" si="47"/>
        <v>3.5</v>
      </c>
      <c r="N107" s="11">
        <f t="shared" si="48"/>
        <v>4</v>
      </c>
      <c r="O107" s="11">
        <f t="shared" si="49"/>
        <v>7.3599999999999994</v>
      </c>
      <c r="P107" s="19">
        <f t="shared" si="50"/>
        <v>0.61586206896551721</v>
      </c>
      <c r="Q107" s="11">
        <f t="shared" si="51"/>
        <v>3</v>
      </c>
      <c r="R107" s="11">
        <f t="shared" si="52"/>
        <v>3.5</v>
      </c>
      <c r="S107" s="11">
        <f t="shared" si="53"/>
        <v>20</v>
      </c>
      <c r="T107" s="11">
        <f t="shared" si="54"/>
        <v>5.52</v>
      </c>
      <c r="U107" s="19">
        <f t="shared" si="55"/>
        <v>0.7115555555555555</v>
      </c>
      <c r="W107" s="39"/>
      <c r="X107" s="39"/>
      <c r="Y107" s="39"/>
      <c r="Z107" s="39"/>
      <c r="AA107" s="39"/>
      <c r="AB107" s="39"/>
    </row>
    <row r="108" spans="1:28" ht="13.2" x14ac:dyDescent="0.25">
      <c r="A108" s="12">
        <v>103</v>
      </c>
      <c r="B108" s="21" t="s">
        <v>143</v>
      </c>
      <c r="C108" s="13">
        <v>10</v>
      </c>
      <c r="D108" s="13">
        <v>18</v>
      </c>
      <c r="E108" s="13">
        <v>27</v>
      </c>
      <c r="F108" s="14">
        <v>50</v>
      </c>
      <c r="G108" s="15">
        <v>75</v>
      </c>
      <c r="H108" s="11">
        <f t="shared" si="42"/>
        <v>4</v>
      </c>
      <c r="I108" s="11">
        <f t="shared" si="43"/>
        <v>9</v>
      </c>
      <c r="J108" s="11">
        <f t="shared" si="44"/>
        <v>6</v>
      </c>
      <c r="K108" s="19">
        <f t="shared" si="45"/>
        <v>0.73076923076923073</v>
      </c>
      <c r="L108" s="11">
        <f t="shared" si="46"/>
        <v>3</v>
      </c>
      <c r="M108" s="11">
        <f t="shared" si="47"/>
        <v>4.5</v>
      </c>
      <c r="N108" s="11">
        <f t="shared" si="48"/>
        <v>4.5</v>
      </c>
      <c r="O108" s="11">
        <f t="shared" si="49"/>
        <v>8</v>
      </c>
      <c r="P108" s="19">
        <f t="shared" si="50"/>
        <v>0.68965517241379315</v>
      </c>
      <c r="Q108" s="11">
        <f t="shared" si="51"/>
        <v>3</v>
      </c>
      <c r="R108" s="11">
        <f t="shared" si="52"/>
        <v>4.5</v>
      </c>
      <c r="S108" s="11">
        <f t="shared" si="53"/>
        <v>22.5</v>
      </c>
      <c r="T108" s="11">
        <f t="shared" si="54"/>
        <v>6</v>
      </c>
      <c r="U108" s="19">
        <f t="shared" si="55"/>
        <v>0.8</v>
      </c>
    </row>
    <row r="109" spans="1:28" ht="13.2" x14ac:dyDescent="0.25">
      <c r="A109" s="12">
        <v>104</v>
      </c>
      <c r="B109" s="21" t="s">
        <v>144</v>
      </c>
      <c r="C109" s="13">
        <v>9</v>
      </c>
      <c r="D109" s="13">
        <v>20</v>
      </c>
      <c r="E109" s="13">
        <v>30</v>
      </c>
      <c r="F109" s="14">
        <v>90</v>
      </c>
      <c r="G109" s="15">
        <v>95</v>
      </c>
      <c r="H109" s="11">
        <f t="shared" si="42"/>
        <v>3.6</v>
      </c>
      <c r="I109" s="11">
        <f t="shared" si="43"/>
        <v>10</v>
      </c>
      <c r="J109" s="11">
        <f t="shared" si="44"/>
        <v>10.8</v>
      </c>
      <c r="K109" s="19">
        <f t="shared" si="45"/>
        <v>0.93846153846153846</v>
      </c>
      <c r="L109" s="11">
        <f t="shared" si="46"/>
        <v>2.7</v>
      </c>
      <c r="M109" s="11">
        <f t="shared" si="47"/>
        <v>5</v>
      </c>
      <c r="N109" s="11">
        <f t="shared" si="48"/>
        <v>5</v>
      </c>
      <c r="O109" s="11">
        <f t="shared" si="49"/>
        <v>14.4</v>
      </c>
      <c r="P109" s="19">
        <f t="shared" si="50"/>
        <v>0.93448275862068975</v>
      </c>
      <c r="Q109" s="11">
        <f t="shared" si="51"/>
        <v>2.7</v>
      </c>
      <c r="R109" s="11">
        <f t="shared" si="52"/>
        <v>5</v>
      </c>
      <c r="S109" s="11">
        <f t="shared" si="53"/>
        <v>25</v>
      </c>
      <c r="T109" s="11">
        <f t="shared" si="54"/>
        <v>10.8</v>
      </c>
      <c r="U109" s="19">
        <f t="shared" si="55"/>
        <v>0.96666666666666667</v>
      </c>
    </row>
    <row r="110" spans="1:28" ht="13.2" x14ac:dyDescent="0.25">
      <c r="A110" s="12">
        <v>105</v>
      </c>
      <c r="B110" s="21" t="s">
        <v>145</v>
      </c>
      <c r="C110" s="13">
        <v>10</v>
      </c>
      <c r="D110" s="13">
        <v>18</v>
      </c>
      <c r="E110" s="13">
        <v>30</v>
      </c>
      <c r="F110" s="14">
        <v>59</v>
      </c>
      <c r="G110" s="15">
        <v>81</v>
      </c>
      <c r="H110" s="11">
        <f t="shared" si="42"/>
        <v>4</v>
      </c>
      <c r="I110" s="11">
        <f t="shared" si="43"/>
        <v>9</v>
      </c>
      <c r="J110" s="11">
        <f t="shared" si="44"/>
        <v>7.080000000000001</v>
      </c>
      <c r="K110" s="19">
        <f t="shared" si="45"/>
        <v>0.77230769230769236</v>
      </c>
      <c r="L110" s="11">
        <f t="shared" si="46"/>
        <v>3</v>
      </c>
      <c r="M110" s="11">
        <f t="shared" si="47"/>
        <v>4.5</v>
      </c>
      <c r="N110" s="11">
        <f t="shared" si="48"/>
        <v>5</v>
      </c>
      <c r="O110" s="11">
        <f t="shared" si="49"/>
        <v>9.4400000000000013</v>
      </c>
      <c r="P110" s="19">
        <f t="shared" si="50"/>
        <v>0.75655172413793104</v>
      </c>
      <c r="Q110" s="11">
        <f t="shared" si="51"/>
        <v>3</v>
      </c>
      <c r="R110" s="11">
        <f t="shared" si="52"/>
        <v>4.5</v>
      </c>
      <c r="S110" s="11">
        <f t="shared" si="53"/>
        <v>25</v>
      </c>
      <c r="T110" s="11">
        <f t="shared" si="54"/>
        <v>7.080000000000001</v>
      </c>
      <c r="U110" s="19">
        <f t="shared" si="55"/>
        <v>0.87955555555555553</v>
      </c>
    </row>
    <row r="111" spans="1:28" ht="13.2" x14ac:dyDescent="0.25">
      <c r="A111" s="12">
        <v>106</v>
      </c>
      <c r="B111" s="21" t="s">
        <v>146</v>
      </c>
      <c r="C111" s="13">
        <v>9</v>
      </c>
      <c r="D111" s="13">
        <v>15</v>
      </c>
      <c r="E111" s="13">
        <v>25</v>
      </c>
      <c r="F111" s="14">
        <v>49</v>
      </c>
      <c r="G111" s="15">
        <v>68</v>
      </c>
      <c r="H111" s="11">
        <f t="shared" si="42"/>
        <v>3.6</v>
      </c>
      <c r="I111" s="11">
        <f t="shared" si="43"/>
        <v>7.5</v>
      </c>
      <c r="J111" s="11">
        <f t="shared" si="44"/>
        <v>5.8800000000000008</v>
      </c>
      <c r="K111" s="19">
        <f t="shared" si="45"/>
        <v>0.65307692307692311</v>
      </c>
      <c r="L111" s="11">
        <f t="shared" si="46"/>
        <v>2.7</v>
      </c>
      <c r="M111" s="11">
        <f t="shared" si="47"/>
        <v>3.75</v>
      </c>
      <c r="N111" s="11">
        <f t="shared" si="48"/>
        <v>4.166666666666667</v>
      </c>
      <c r="O111" s="11">
        <f t="shared" si="49"/>
        <v>7.8400000000000007</v>
      </c>
      <c r="P111" s="19">
        <f t="shared" si="50"/>
        <v>0.63643678160919537</v>
      </c>
      <c r="Q111" s="11">
        <f t="shared" si="51"/>
        <v>2.7</v>
      </c>
      <c r="R111" s="11">
        <f t="shared" si="52"/>
        <v>3.75</v>
      </c>
      <c r="S111" s="11">
        <f t="shared" si="53"/>
        <v>20.833333333333332</v>
      </c>
      <c r="T111" s="11">
        <f t="shared" si="54"/>
        <v>5.8800000000000008</v>
      </c>
      <c r="U111" s="19">
        <f t="shared" si="55"/>
        <v>0.73696296296296293</v>
      </c>
    </row>
    <row r="112" spans="1:28" ht="13.2" x14ac:dyDescent="0.25">
      <c r="A112" s="12">
        <v>107</v>
      </c>
      <c r="B112" s="21" t="s">
        <v>147</v>
      </c>
      <c r="C112" s="13">
        <v>10</v>
      </c>
      <c r="D112" s="13">
        <v>15</v>
      </c>
      <c r="E112" s="13">
        <v>23</v>
      </c>
      <c r="F112" s="14">
        <v>39</v>
      </c>
      <c r="G112" s="15">
        <v>63</v>
      </c>
      <c r="H112" s="11">
        <f t="shared" si="42"/>
        <v>4</v>
      </c>
      <c r="I112" s="11">
        <f t="shared" si="43"/>
        <v>7.5</v>
      </c>
      <c r="J112" s="11">
        <f t="shared" si="44"/>
        <v>4.68</v>
      </c>
      <c r="K112" s="19">
        <f t="shared" si="45"/>
        <v>0.62230769230769234</v>
      </c>
      <c r="L112" s="11">
        <f t="shared" si="46"/>
        <v>3</v>
      </c>
      <c r="M112" s="11">
        <f t="shared" si="47"/>
        <v>3.75</v>
      </c>
      <c r="N112" s="11">
        <f t="shared" si="48"/>
        <v>3.8333333333333335</v>
      </c>
      <c r="O112" s="11">
        <f t="shared" si="49"/>
        <v>6.24</v>
      </c>
      <c r="P112" s="19">
        <f t="shared" si="50"/>
        <v>0.58011494252873563</v>
      </c>
      <c r="Q112" s="11">
        <f t="shared" si="51"/>
        <v>3</v>
      </c>
      <c r="R112" s="11">
        <f t="shared" si="52"/>
        <v>3.75</v>
      </c>
      <c r="S112" s="11">
        <f t="shared" si="53"/>
        <v>19.166666666666668</v>
      </c>
      <c r="T112" s="11">
        <f t="shared" si="54"/>
        <v>4.68</v>
      </c>
      <c r="U112" s="19">
        <f t="shared" si="55"/>
        <v>0.67992592592592593</v>
      </c>
    </row>
    <row r="113" spans="1:28" ht="13.2" x14ac:dyDescent="0.25">
      <c r="A113" s="12">
        <v>108</v>
      </c>
      <c r="B113" s="21" t="s">
        <v>148</v>
      </c>
      <c r="C113" s="13">
        <v>8</v>
      </c>
      <c r="D113" s="13">
        <v>17</v>
      </c>
      <c r="E113" s="13">
        <v>22</v>
      </c>
      <c r="F113" s="14">
        <v>35</v>
      </c>
      <c r="G113" s="15">
        <v>61</v>
      </c>
      <c r="H113" s="11">
        <f t="shared" si="42"/>
        <v>3.2</v>
      </c>
      <c r="I113" s="11">
        <f t="shared" si="43"/>
        <v>8.5</v>
      </c>
      <c r="J113" s="11">
        <f t="shared" si="44"/>
        <v>4.2</v>
      </c>
      <c r="K113" s="19">
        <f t="shared" si="45"/>
        <v>0.61153846153846148</v>
      </c>
      <c r="L113" s="11">
        <f t="shared" si="46"/>
        <v>2.4</v>
      </c>
      <c r="M113" s="11">
        <f t="shared" si="47"/>
        <v>4.25</v>
      </c>
      <c r="N113" s="11">
        <f t="shared" si="48"/>
        <v>3.6666666666666665</v>
      </c>
      <c r="O113" s="11">
        <f t="shared" si="49"/>
        <v>5.6</v>
      </c>
      <c r="P113" s="19">
        <f t="shared" si="50"/>
        <v>0.54885057471264365</v>
      </c>
      <c r="Q113" s="11">
        <f t="shared" si="51"/>
        <v>2.4</v>
      </c>
      <c r="R113" s="11">
        <f t="shared" si="52"/>
        <v>4.25</v>
      </c>
      <c r="S113" s="11">
        <f t="shared" si="53"/>
        <v>18.333333333333332</v>
      </c>
      <c r="T113" s="11">
        <f t="shared" si="54"/>
        <v>4.2</v>
      </c>
      <c r="U113" s="19">
        <f t="shared" si="55"/>
        <v>0.64851851851851849</v>
      </c>
    </row>
    <row r="114" spans="1:28" ht="13.2" x14ac:dyDescent="0.25">
      <c r="A114" s="12">
        <v>109</v>
      </c>
      <c r="B114" s="21" t="s">
        <v>149</v>
      </c>
      <c r="C114" s="13">
        <v>9</v>
      </c>
      <c r="D114" s="13">
        <v>15</v>
      </c>
      <c r="E114" s="13">
        <v>24</v>
      </c>
      <c r="F114" s="14">
        <v>31</v>
      </c>
      <c r="G114" s="15">
        <v>60</v>
      </c>
      <c r="H114" s="11">
        <f t="shared" si="42"/>
        <v>3.6</v>
      </c>
      <c r="I114" s="11">
        <f t="shared" si="43"/>
        <v>7.5</v>
      </c>
      <c r="J114" s="11">
        <f t="shared" si="44"/>
        <v>3.72</v>
      </c>
      <c r="K114" s="19">
        <f t="shared" si="45"/>
        <v>0.57000000000000006</v>
      </c>
      <c r="L114" s="11">
        <f t="shared" si="46"/>
        <v>2.7</v>
      </c>
      <c r="M114" s="11">
        <f t="shared" si="47"/>
        <v>3.75</v>
      </c>
      <c r="N114" s="11">
        <f t="shared" si="48"/>
        <v>4</v>
      </c>
      <c r="O114" s="11">
        <f t="shared" si="49"/>
        <v>4.96</v>
      </c>
      <c r="P114" s="19">
        <f t="shared" si="50"/>
        <v>0.53137931034482755</v>
      </c>
      <c r="Q114" s="11">
        <f t="shared" si="51"/>
        <v>2.7</v>
      </c>
      <c r="R114" s="11">
        <f t="shared" si="52"/>
        <v>3.75</v>
      </c>
      <c r="S114" s="11">
        <f t="shared" si="53"/>
        <v>20</v>
      </c>
      <c r="T114" s="11">
        <f t="shared" si="54"/>
        <v>3.72</v>
      </c>
      <c r="U114" s="19">
        <f t="shared" si="55"/>
        <v>0.6704444444444444</v>
      </c>
    </row>
    <row r="115" spans="1:28" ht="13.2" x14ac:dyDescent="0.25">
      <c r="A115" s="12">
        <v>110</v>
      </c>
      <c r="B115" s="21" t="s">
        <v>150</v>
      </c>
      <c r="C115" s="13">
        <v>9</v>
      </c>
      <c r="D115" s="13">
        <v>17</v>
      </c>
      <c r="E115" s="13">
        <v>26</v>
      </c>
      <c r="F115" s="14">
        <v>70</v>
      </c>
      <c r="G115" s="15">
        <v>80</v>
      </c>
      <c r="H115" s="11">
        <f t="shared" si="42"/>
        <v>3.6</v>
      </c>
      <c r="I115" s="11">
        <f t="shared" si="43"/>
        <v>8.5</v>
      </c>
      <c r="J115" s="11">
        <f t="shared" si="44"/>
        <v>8.4</v>
      </c>
      <c r="K115" s="19">
        <f t="shared" si="45"/>
        <v>0.78846153846153844</v>
      </c>
      <c r="L115" s="11">
        <f t="shared" si="46"/>
        <v>2.7</v>
      </c>
      <c r="M115" s="11">
        <f t="shared" si="47"/>
        <v>4.25</v>
      </c>
      <c r="N115" s="11">
        <f t="shared" si="48"/>
        <v>4.333333333333333</v>
      </c>
      <c r="O115" s="11">
        <f t="shared" si="49"/>
        <v>11.2</v>
      </c>
      <c r="P115" s="19">
        <f t="shared" si="50"/>
        <v>0.77528735632183909</v>
      </c>
      <c r="Q115" s="11">
        <f t="shared" si="51"/>
        <v>2.7</v>
      </c>
      <c r="R115" s="11">
        <f t="shared" si="52"/>
        <v>4.25</v>
      </c>
      <c r="S115" s="11">
        <f t="shared" si="53"/>
        <v>21.666666666666668</v>
      </c>
      <c r="T115" s="11">
        <f t="shared" si="54"/>
        <v>8.4</v>
      </c>
      <c r="U115" s="19">
        <f t="shared" si="55"/>
        <v>0.82259259259259254</v>
      </c>
    </row>
    <row r="116" spans="1:28" ht="13.2" x14ac:dyDescent="0.25">
      <c r="A116" s="12">
        <v>111</v>
      </c>
      <c r="B116" s="21" t="s">
        <v>151</v>
      </c>
      <c r="C116" s="13">
        <v>9</v>
      </c>
      <c r="D116" s="13">
        <v>20</v>
      </c>
      <c r="E116" s="13">
        <v>30</v>
      </c>
      <c r="F116" s="14">
        <v>56</v>
      </c>
      <c r="G116" s="15">
        <v>81</v>
      </c>
      <c r="H116" s="11">
        <f t="shared" si="42"/>
        <v>3.6</v>
      </c>
      <c r="I116" s="11">
        <f t="shared" si="43"/>
        <v>10</v>
      </c>
      <c r="J116" s="11">
        <f t="shared" si="44"/>
        <v>6.7199999999999989</v>
      </c>
      <c r="K116" s="19">
        <f t="shared" si="45"/>
        <v>0.78153846153846152</v>
      </c>
      <c r="L116" s="11">
        <f t="shared" si="46"/>
        <v>2.7</v>
      </c>
      <c r="M116" s="11">
        <f t="shared" si="47"/>
        <v>5</v>
      </c>
      <c r="N116" s="11">
        <f t="shared" si="48"/>
        <v>5</v>
      </c>
      <c r="O116" s="11">
        <f t="shared" si="49"/>
        <v>8.9599999999999991</v>
      </c>
      <c r="P116" s="19">
        <f t="shared" si="50"/>
        <v>0.74689655172413782</v>
      </c>
      <c r="Q116" s="11">
        <f t="shared" si="51"/>
        <v>2.7</v>
      </c>
      <c r="R116" s="11">
        <f t="shared" si="52"/>
        <v>5</v>
      </c>
      <c r="S116" s="11">
        <f t="shared" si="53"/>
        <v>25</v>
      </c>
      <c r="T116" s="11">
        <f t="shared" si="54"/>
        <v>6.7199999999999989</v>
      </c>
      <c r="U116" s="19">
        <f t="shared" si="55"/>
        <v>0.876</v>
      </c>
    </row>
    <row r="117" spans="1:28" x14ac:dyDescent="0.25">
      <c r="A117" s="45" t="s">
        <v>24</v>
      </c>
      <c r="B117" s="45"/>
      <c r="C117" s="45"/>
      <c r="D117" s="45"/>
      <c r="E117" s="45"/>
      <c r="F117" s="45"/>
      <c r="G117" s="45"/>
      <c r="H117" s="10">
        <f t="shared" ref="H117:U117" si="56">AVERAGE(H6:H116)</f>
        <v>3.8702702702702725</v>
      </c>
      <c r="I117" s="10">
        <f t="shared" si="56"/>
        <v>8.8198198198198199</v>
      </c>
      <c r="J117" s="10">
        <f t="shared" si="56"/>
        <v>6.6270270270270286</v>
      </c>
      <c r="K117" s="10">
        <f t="shared" si="56"/>
        <v>0.74296604296604274</v>
      </c>
      <c r="L117" s="10">
        <f t="shared" si="56"/>
        <v>2.9027027027027006</v>
      </c>
      <c r="M117" s="10">
        <f t="shared" si="56"/>
        <v>4.4099099099099099</v>
      </c>
      <c r="N117" s="10">
        <f t="shared" si="56"/>
        <v>4.3678678678678677</v>
      </c>
      <c r="O117" s="10">
        <f t="shared" si="56"/>
        <v>8.8360360360360399</v>
      </c>
      <c r="P117" s="10">
        <f t="shared" si="56"/>
        <v>0.70746608677643164</v>
      </c>
      <c r="Q117" s="10">
        <f t="shared" si="56"/>
        <v>2.9027027027027006</v>
      </c>
      <c r="R117" s="10">
        <f t="shared" si="56"/>
        <v>4.4099099099099099</v>
      </c>
      <c r="S117" s="10">
        <f t="shared" si="56"/>
        <v>21.839339339339343</v>
      </c>
      <c r="T117" s="10">
        <f t="shared" si="56"/>
        <v>6.6270270270270286</v>
      </c>
      <c r="U117" s="10">
        <f t="shared" si="56"/>
        <v>0.79508842175508831</v>
      </c>
    </row>
    <row r="118" spans="1:28" x14ac:dyDescent="0.25">
      <c r="B118" s="3" t="s">
        <v>1</v>
      </c>
      <c r="C118" s="16">
        <f>AVERAGE(C6:C116)</f>
        <v>9.6756756756756754</v>
      </c>
      <c r="D118" s="16">
        <f>AVERAGE(D6:D116)</f>
        <v>17.63963963963964</v>
      </c>
      <c r="E118" s="16">
        <f>AVERAGE(E6:E116)</f>
        <v>26.207207207207208</v>
      </c>
      <c r="F118" s="16">
        <f>AVERAGE(F6:F116)</f>
        <v>55.225225225225223</v>
      </c>
      <c r="G118" s="16">
        <f>AVERAGE(G6:G116)</f>
        <v>75.198198198198199</v>
      </c>
    </row>
    <row r="124" spans="1:28" ht="15" x14ac:dyDescent="0.25">
      <c r="A124" s="32">
        <v>6</v>
      </c>
      <c r="B124" s="40" t="s">
        <v>40</v>
      </c>
      <c r="C124" s="34">
        <v>10</v>
      </c>
      <c r="D124" s="34">
        <v>13</v>
      </c>
      <c r="E124" s="34">
        <v>14</v>
      </c>
      <c r="F124" s="35">
        <v>25</v>
      </c>
      <c r="G124" s="36">
        <v>47</v>
      </c>
      <c r="H124" s="37">
        <f>C124*$H$4/$C$4</f>
        <v>4</v>
      </c>
      <c r="I124" s="37">
        <f>D124*$I$4/$D$4</f>
        <v>6.5</v>
      </c>
      <c r="J124" s="37">
        <f>(F124*$F$4/100)*$J$4/$F$4</f>
        <v>3</v>
      </c>
      <c r="K124" s="38">
        <f>SUM(H124:J124)/$K$4</f>
        <v>0.51923076923076927</v>
      </c>
      <c r="L124" s="37">
        <f>C124*$L$4/$C$4</f>
        <v>3</v>
      </c>
      <c r="M124" s="37">
        <f>D124*$M$4/$D$4</f>
        <v>3.25</v>
      </c>
      <c r="N124" s="37">
        <f>E124*$N$4/$E$4</f>
        <v>2.3333333333333335</v>
      </c>
      <c r="O124" s="37">
        <f>(F124*$F$4/100)*$O$4/$F$4</f>
        <v>4</v>
      </c>
      <c r="P124" s="38">
        <f>(L124+M124+N124+O124)/$P$4</f>
        <v>0.43390804597701149</v>
      </c>
      <c r="Q124" s="37">
        <f>C124*$Q$4/$C$4</f>
        <v>3</v>
      </c>
      <c r="R124" s="37">
        <f>D124*$R$4/$D$4</f>
        <v>3.25</v>
      </c>
      <c r="S124" s="37">
        <f>E124*$S$4/$E$4</f>
        <v>11.666666666666666</v>
      </c>
      <c r="T124" s="37">
        <f>(F124*$F$4/100)*$T$4/$F$4</f>
        <v>3</v>
      </c>
      <c r="U124" s="38">
        <f>(Q124+R124+S124+T124)/$U$4</f>
        <v>0.46481481481481474</v>
      </c>
    </row>
    <row r="125" spans="1:28" s="39" customFormat="1" ht="13.2" x14ac:dyDescent="0.25">
      <c r="A125" s="32">
        <v>52</v>
      </c>
      <c r="B125" s="33" t="s">
        <v>38</v>
      </c>
      <c r="C125" s="34">
        <v>10</v>
      </c>
      <c r="D125" s="34">
        <v>11</v>
      </c>
      <c r="E125" s="34">
        <v>13</v>
      </c>
      <c r="F125" s="35">
        <v>34</v>
      </c>
      <c r="G125" s="36">
        <v>47</v>
      </c>
      <c r="H125" s="37">
        <f>C125*$H$4/$C$4</f>
        <v>4</v>
      </c>
      <c r="I125" s="37">
        <f>D125*$I$4/$D$4</f>
        <v>5.5</v>
      </c>
      <c r="J125" s="37">
        <f>(F125*$F$4/100)*$J$4/$F$4</f>
        <v>4.08</v>
      </c>
      <c r="K125" s="38">
        <f>SUM(H125:J125)/$K$4</f>
        <v>0.52230769230769236</v>
      </c>
      <c r="L125" s="37">
        <f>C125*$L$4/$C$4</f>
        <v>3</v>
      </c>
      <c r="M125" s="37">
        <f>D125*$M$4/$D$4</f>
        <v>2.75</v>
      </c>
      <c r="N125" s="37">
        <f>E125*$N$4/$E$4</f>
        <v>2.1666666666666665</v>
      </c>
      <c r="O125" s="37">
        <f>(F125*$F$4/100)*$O$4/$F$4</f>
        <v>5.4399999999999995</v>
      </c>
      <c r="P125" s="38">
        <f>(L125+M125+N125+O125)/$P$4</f>
        <v>0.46057471264367811</v>
      </c>
      <c r="Q125" s="37">
        <f>C125*$Q$4/$C$4</f>
        <v>3</v>
      </c>
      <c r="R125" s="37">
        <f>D125*$R$4/$D$4</f>
        <v>2.75</v>
      </c>
      <c r="S125" s="37">
        <f>E125*$S$4/$E$4</f>
        <v>10.833333333333334</v>
      </c>
      <c r="T125" s="37">
        <f>(F125*$F$4/100)*$T$4/$F$4</f>
        <v>4.08</v>
      </c>
      <c r="U125" s="38">
        <f>(Q125+R125+S125+T125)/$U$4</f>
        <v>0.4591851851851852</v>
      </c>
      <c r="W125" s="3"/>
      <c r="X125" s="3"/>
      <c r="Y125" s="3"/>
      <c r="Z125" s="3"/>
      <c r="AA125" s="3"/>
      <c r="AB125" s="3"/>
    </row>
    <row r="126" spans="1:28" s="39" customFormat="1" ht="13.2" x14ac:dyDescent="0.25">
      <c r="A126" s="32">
        <v>25</v>
      </c>
      <c r="B126" s="33" t="s">
        <v>37</v>
      </c>
      <c r="C126" s="34">
        <v>10</v>
      </c>
      <c r="D126" s="34">
        <v>12</v>
      </c>
      <c r="E126" s="34">
        <v>12</v>
      </c>
      <c r="F126" s="35">
        <v>38</v>
      </c>
      <c r="G126" s="36">
        <v>49</v>
      </c>
      <c r="H126" s="37">
        <f>C126*$H$4/$C$4</f>
        <v>4</v>
      </c>
      <c r="I126" s="37">
        <f>D126*$I$4/$D$4</f>
        <v>6</v>
      </c>
      <c r="J126" s="37">
        <f>(F126*$F$4/100)*$J$4/$F$4</f>
        <v>4.5599999999999996</v>
      </c>
      <c r="K126" s="38">
        <f>SUM(H126:J126)/$K$4</f>
        <v>0.55999999999999994</v>
      </c>
      <c r="L126" s="37">
        <f>C126*$L$4/$C$4</f>
        <v>3</v>
      </c>
      <c r="M126" s="37">
        <f>D126*$M$4/$D$4</f>
        <v>3</v>
      </c>
      <c r="N126" s="37">
        <f>E126*$N$4/$E$4</f>
        <v>2</v>
      </c>
      <c r="O126" s="37">
        <f>(F126*$F$4/100)*$O$4/$F$4</f>
        <v>6.08</v>
      </c>
      <c r="P126" s="38">
        <f>(L126+M126+N126+O126)/$P$4</f>
        <v>0.48551724137931035</v>
      </c>
      <c r="Q126" s="37">
        <f>C126*$Q$4/$C$4</f>
        <v>3</v>
      </c>
      <c r="R126" s="37">
        <f>D126*$R$4/$D$4</f>
        <v>3</v>
      </c>
      <c r="S126" s="37">
        <f>E126*$S$4/$E$4</f>
        <v>10</v>
      </c>
      <c r="T126" s="37">
        <f>(F126*$F$4/100)*$T$4/$F$4</f>
        <v>4.5599999999999996</v>
      </c>
      <c r="U126" s="38">
        <f>(Q126+R126+S126+T126)/$U$4</f>
        <v>0.45688888888888884</v>
      </c>
      <c r="W126" s="3"/>
      <c r="X126" s="3"/>
      <c r="Y126" s="3"/>
      <c r="Z126" s="3"/>
      <c r="AA126" s="3"/>
      <c r="AB126" s="3"/>
    </row>
    <row r="127" spans="1:28" s="39" customFormat="1" x14ac:dyDescent="0.25">
      <c r="A127" s="2"/>
      <c r="B127" s="3"/>
      <c r="C127" s="4"/>
      <c r="D127" s="4"/>
      <c r="E127" s="4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W127" s="3"/>
      <c r="X127" s="3"/>
      <c r="Y127" s="3"/>
      <c r="Z127" s="3"/>
      <c r="AA127" s="3"/>
      <c r="AB127" s="3"/>
    </row>
    <row r="128" spans="1:28" x14ac:dyDescent="0.25">
      <c r="A128" s="2">
        <v>6</v>
      </c>
      <c r="B128" s="3" t="s">
        <v>36</v>
      </c>
      <c r="C128" s="41">
        <v>0.51923076923076927</v>
      </c>
      <c r="D128" s="41">
        <v>0.43390804597701149</v>
      </c>
      <c r="E128" s="41">
        <v>0.46481481481481474</v>
      </c>
    </row>
    <row r="129" spans="1:5" x14ac:dyDescent="0.25">
      <c r="A129" s="2">
        <v>52</v>
      </c>
      <c r="B129" s="3" t="s">
        <v>38</v>
      </c>
      <c r="C129" s="41">
        <v>0.52230769230769236</v>
      </c>
      <c r="D129" s="41">
        <v>0.46057471264367811</v>
      </c>
      <c r="E129" s="41">
        <v>0.4591851851851852</v>
      </c>
    </row>
    <row r="130" spans="1:5" x14ac:dyDescent="0.25">
      <c r="A130" s="2">
        <v>25</v>
      </c>
      <c r="B130" s="3" t="s">
        <v>37</v>
      </c>
      <c r="C130" s="41">
        <v>0.55999999999999994</v>
      </c>
      <c r="D130" s="41">
        <v>0.48551724137931035</v>
      </c>
      <c r="E130" s="41">
        <v>0.45688888888888884</v>
      </c>
    </row>
  </sheetData>
  <mergeCells count="11">
    <mergeCell ref="W91:W93"/>
    <mergeCell ref="AB91:AB93"/>
    <mergeCell ref="W94:W97"/>
    <mergeCell ref="AB94:AB97"/>
    <mergeCell ref="W98:W101"/>
    <mergeCell ref="AB98:AB101"/>
    <mergeCell ref="A1:U1"/>
    <mergeCell ref="H2:K2"/>
    <mergeCell ref="L2:P2"/>
    <mergeCell ref="Q2:T2"/>
    <mergeCell ref="A117:G117"/>
  </mergeCells>
  <phoneticPr fontId="23" type="noConversion"/>
  <printOptions horizontalCentered="1"/>
  <pageMargins left="0" right="0" top="0.55118110236220497" bottom="0.55118110236220497" header="0.118110236220472" footer="0.196850393700787"/>
  <pageSetup paperSize="9" orientation="landscape" r:id="rId1"/>
  <headerFooter>
    <oddFooter>&amp;L&amp;"宋体,常规"任课教师（签字）：&amp;R&amp;"宋体,常规"制表日期：&amp;"Arial,常规"2022-7-1</oddFooter>
  </headerFooter>
  <ignoredErrors>
    <ignoredError sqref="K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swm</cp:lastModifiedBy>
  <cp:lastPrinted>2022-10-12T02:22:00Z</cp:lastPrinted>
  <dcterms:created xsi:type="dcterms:W3CDTF">2018-07-26T17:16:00Z</dcterms:created>
  <dcterms:modified xsi:type="dcterms:W3CDTF">2026-06-26T23:23:15Z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d1731363-3c66-4aac-8d6c-65a71da50540</vt:lpwstr>
  </property>
  <property fmtid="{D5CDD505-2E9C-101B-9397-08002B2CF9AE}" pid="3" name="ICV">
    <vt:lpwstr>9853A25E364E4C84882A6D67F3F4CE34_12</vt:lpwstr>
  </property>
  <property fmtid="{D5CDD505-2E9C-101B-9397-08002B2CF9AE}" pid="4" name="KSOProductBuildVer">
    <vt:lpwstr>2052-12.1.0.16250</vt:lpwstr>
  </property>
</Properties>
</file>