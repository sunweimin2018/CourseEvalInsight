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wm\Desktop\data-excl\"/>
    </mc:Choice>
  </mc:AlternateContent>
  <xr:revisionPtr revIDLastSave="0" documentId="13_ncr:1_{FB78F9BE-4161-4263-B735-78115EB83B53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2" i="1" l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H94" i="1"/>
  <c r="G94" i="1"/>
  <c r="F94" i="1"/>
  <c r="E94" i="1"/>
  <c r="D94" i="1"/>
  <c r="C94" i="1"/>
  <c r="B94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C89" i="1"/>
  <c r="B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B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H62" i="1"/>
  <c r="G62" i="1"/>
  <c r="F62" i="1"/>
  <c r="E62" i="1"/>
  <c r="D62" i="1"/>
  <c r="C62" i="1"/>
  <c r="B62" i="1"/>
  <c r="A62" i="1"/>
  <c r="H61" i="1"/>
  <c r="G61" i="1"/>
  <c r="F61" i="1"/>
  <c r="E61" i="1"/>
  <c r="D61" i="1"/>
  <c r="C61" i="1"/>
  <c r="B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B57" i="1"/>
  <c r="A57" i="1"/>
  <c r="H56" i="1"/>
  <c r="G56" i="1"/>
  <c r="F56" i="1"/>
  <c r="E56" i="1"/>
  <c r="D56" i="1"/>
  <c r="C56" i="1"/>
  <c r="B56" i="1"/>
  <c r="A56" i="1"/>
  <c r="H55" i="1"/>
  <c r="G55" i="1"/>
  <c r="F55" i="1"/>
  <c r="E55" i="1"/>
  <c r="D55" i="1"/>
  <c r="C55" i="1"/>
  <c r="B55" i="1"/>
  <c r="A55" i="1"/>
  <c r="H54" i="1"/>
  <c r="G54" i="1"/>
  <c r="F54" i="1"/>
  <c r="E54" i="1"/>
  <c r="D54" i="1"/>
  <c r="C54" i="1"/>
  <c r="B54" i="1"/>
  <c r="A54" i="1"/>
  <c r="H53" i="1"/>
  <c r="G53" i="1"/>
  <c r="F53" i="1"/>
  <c r="E53" i="1"/>
  <c r="D53" i="1"/>
  <c r="C53" i="1"/>
  <c r="B53" i="1"/>
  <c r="A53" i="1"/>
  <c r="H52" i="1"/>
  <c r="G52" i="1"/>
  <c r="F52" i="1"/>
  <c r="E52" i="1"/>
  <c r="D52" i="1"/>
  <c r="C52" i="1"/>
  <c r="B52" i="1"/>
  <c r="A52" i="1"/>
  <c r="H51" i="1"/>
  <c r="G51" i="1"/>
  <c r="F51" i="1"/>
  <c r="E51" i="1"/>
  <c r="D51" i="1"/>
  <c r="C51" i="1"/>
  <c r="B51" i="1"/>
  <c r="A51" i="1"/>
  <c r="H50" i="1"/>
  <c r="G50" i="1"/>
  <c r="F50" i="1"/>
  <c r="E50" i="1"/>
  <c r="D50" i="1"/>
  <c r="C50" i="1"/>
  <c r="B50" i="1"/>
  <c r="A50" i="1"/>
  <c r="H49" i="1"/>
  <c r="G49" i="1"/>
  <c r="F49" i="1"/>
  <c r="E49" i="1"/>
  <c r="D49" i="1"/>
  <c r="C49" i="1"/>
  <c r="B49" i="1"/>
  <c r="A49" i="1"/>
  <c r="H48" i="1"/>
  <c r="G48" i="1"/>
  <c r="F48" i="1"/>
  <c r="E48" i="1"/>
  <c r="D48" i="1"/>
  <c r="C48" i="1"/>
  <c r="B48" i="1"/>
  <c r="A48" i="1"/>
  <c r="H47" i="1"/>
  <c r="G47" i="1"/>
  <c r="F47" i="1"/>
  <c r="E47" i="1"/>
  <c r="D47" i="1"/>
  <c r="C47" i="1"/>
  <c r="B47" i="1"/>
  <c r="A47" i="1"/>
  <c r="H46" i="1"/>
  <c r="G46" i="1"/>
  <c r="F46" i="1"/>
  <c r="E46" i="1"/>
  <c r="D46" i="1"/>
  <c r="C46" i="1"/>
  <c r="B46" i="1"/>
  <c r="A46" i="1"/>
  <c r="H45" i="1"/>
  <c r="G45" i="1"/>
  <c r="F45" i="1"/>
  <c r="E45" i="1"/>
  <c r="D45" i="1"/>
  <c r="C45" i="1"/>
  <c r="B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C43" i="1"/>
  <c r="B43" i="1"/>
  <c r="A43" i="1"/>
  <c r="H42" i="1"/>
  <c r="G42" i="1"/>
  <c r="F42" i="1"/>
  <c r="E42" i="1"/>
  <c r="D42" i="1"/>
  <c r="C42" i="1"/>
  <c r="B42" i="1"/>
  <c r="A42" i="1"/>
  <c r="H41" i="1"/>
  <c r="G41" i="1"/>
  <c r="F41" i="1"/>
  <c r="E41" i="1"/>
  <c r="D41" i="1"/>
  <c r="C41" i="1"/>
  <c r="B41" i="1"/>
  <c r="A41" i="1"/>
  <c r="H40" i="1"/>
  <c r="G40" i="1"/>
  <c r="F40" i="1"/>
  <c r="E40" i="1"/>
  <c r="D40" i="1"/>
  <c r="C40" i="1"/>
  <c r="B40" i="1"/>
  <c r="A40" i="1"/>
  <c r="H39" i="1"/>
  <c r="G39" i="1"/>
  <c r="F39" i="1"/>
  <c r="E39" i="1"/>
  <c r="D39" i="1"/>
  <c r="C39" i="1"/>
  <c r="B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C35" i="1"/>
  <c r="B35" i="1"/>
  <c r="A35" i="1"/>
  <c r="H34" i="1"/>
  <c r="G34" i="1"/>
  <c r="F34" i="1"/>
  <c r="E34" i="1"/>
  <c r="D34" i="1"/>
  <c r="C34" i="1"/>
  <c r="B34" i="1"/>
  <c r="A34" i="1"/>
  <c r="H33" i="1"/>
  <c r="G33" i="1"/>
  <c r="F33" i="1"/>
  <c r="E33" i="1"/>
  <c r="D33" i="1"/>
  <c r="C33" i="1"/>
  <c r="B33" i="1"/>
  <c r="A33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H5" i="1"/>
  <c r="G5" i="1"/>
  <c r="F5" i="1"/>
  <c r="E5" i="1"/>
  <c r="D5" i="1"/>
  <c r="C5" i="1"/>
  <c r="B5" i="1"/>
  <c r="A5" i="1"/>
  <c r="H4" i="1"/>
  <c r="G4" i="1"/>
  <c r="F4" i="1"/>
  <c r="E4" i="1"/>
  <c r="D4" i="1"/>
  <c r="C4" i="1"/>
  <c r="B4" i="1"/>
  <c r="A4" i="1"/>
  <c r="H3" i="1"/>
  <c r="G3" i="1"/>
  <c r="F3" i="1"/>
  <c r="E3" i="1"/>
  <c r="D3" i="1"/>
  <c r="C3" i="1"/>
  <c r="B3" i="1"/>
  <c r="A3" i="1"/>
  <c r="H2" i="1"/>
  <c r="G2" i="1"/>
  <c r="F2" i="1"/>
  <c r="E2" i="1"/>
  <c r="D2" i="1"/>
  <c r="C2" i="1"/>
  <c r="B2" i="1"/>
  <c r="A2" i="1"/>
  <c r="I3" i="1" l="1"/>
  <c r="I5" i="1"/>
  <c r="I8" i="1"/>
  <c r="I11" i="1"/>
  <c r="I14" i="1"/>
  <c r="I16" i="1"/>
  <c r="I19" i="1"/>
  <c r="I22" i="1"/>
  <c r="I23" i="1"/>
  <c r="I109" i="1"/>
  <c r="I110" i="1"/>
  <c r="I112" i="1"/>
  <c r="I2" i="1"/>
  <c r="I4" i="1"/>
  <c r="I6" i="1"/>
  <c r="I7" i="1"/>
  <c r="I9" i="1"/>
  <c r="I10" i="1"/>
  <c r="I12" i="1"/>
  <c r="I13" i="1"/>
  <c r="I15" i="1"/>
  <c r="I17" i="1"/>
  <c r="I18" i="1"/>
  <c r="I20" i="1"/>
  <c r="I21" i="1"/>
  <c r="I24" i="1"/>
  <c r="I111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</calcChain>
</file>

<file path=xl/sharedStrings.xml><?xml version="1.0" encoding="utf-8"?>
<sst xmlns="http://schemas.openxmlformats.org/spreadsheetml/2006/main" count="9" uniqueCount="9">
  <si>
    <t>序号</t>
    <phoneticPr fontId="3" type="noConversion"/>
  </si>
  <si>
    <t>班级</t>
  </si>
  <si>
    <t>学号</t>
  </si>
  <si>
    <t>姓名</t>
  </si>
  <si>
    <t>课堂表现</t>
    <phoneticPr fontId="4" type="noConversion"/>
  </si>
  <si>
    <t>课后作业</t>
    <phoneticPr fontId="4" type="noConversion"/>
  </si>
  <si>
    <t>上机实验</t>
    <phoneticPr fontId="4" type="noConversion"/>
  </si>
  <si>
    <t>期末考试</t>
  </si>
  <si>
    <t>总评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</si>
</sst>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12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9"/>
      <name val="宋体"/>
      <family val="3"/>
      <charset val="134"/>
    </font>
    <font>
      <b/>
      <sz val="9"/>
      <name val="ˎ̥"/>
      <family val="1"/>
    </font>
    <font>
      <b/>
      <sz val="9"/>
      <color rgb="FFFF0000"/>
      <name val="宋体"/>
      <family val="3"/>
      <charset val="134"/>
    </font>
    <font>
      <sz val="9"/>
      <color rgb="FFFF0000"/>
      <name val="宋体"/>
      <family val="3"/>
      <charset val="134"/>
    </font>
    <font>
      <sz val="10"/>
      <name val="Arial"/>
      <family val="2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7" fontId="5" fillId="0" borderId="0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/>
    <xf numFmtId="0" fontId="9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5-2026python&#35821;&#35328;&#35838;&#31243;&#36164;&#26009;\2024&#20250;&#35745;&#25104;&#32489;&#35745;&#31639;\&#12298;&#31243;&#24207;&#35774;&#35745;&#22522;&#30784;&#12299;&#20250;24&#32423;-&#25104;&#32489;&#35745;&#31639;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学生考勤登记表"/>
      <sheetName val="记分册"/>
      <sheetName val="总"/>
      <sheetName val="计算用表"/>
      <sheetName val="期末考试"/>
      <sheetName val="试卷成绩登记"/>
    </sheetNames>
    <sheetDataSet>
      <sheetData sheetId="0"/>
      <sheetData sheetId="1"/>
      <sheetData sheetId="2"/>
      <sheetData sheetId="3"/>
      <sheetData sheetId="4"/>
      <sheetData sheetId="5">
        <row r="3">
          <cell r="A3">
            <v>1</v>
          </cell>
          <cell r="B3" t="str">
            <v>2024311354</v>
          </cell>
          <cell r="C3" t="str">
            <v>徐文姌</v>
          </cell>
          <cell r="E3" t="str">
            <v>会241</v>
          </cell>
          <cell r="K3">
            <v>51</v>
          </cell>
          <cell r="R3">
            <v>10</v>
          </cell>
          <cell r="S3">
            <v>18</v>
          </cell>
          <cell r="T3">
            <v>26</v>
          </cell>
        </row>
        <row r="4">
          <cell r="A4">
            <v>2</v>
          </cell>
          <cell r="B4" t="str">
            <v>2024311371</v>
          </cell>
          <cell r="C4" t="str">
            <v>杨鑫竹</v>
          </cell>
          <cell r="E4" t="str">
            <v>会241</v>
          </cell>
          <cell r="K4">
            <v>66</v>
          </cell>
          <cell r="R4">
            <v>10</v>
          </cell>
          <cell r="S4">
            <v>17</v>
          </cell>
          <cell r="T4">
            <v>28</v>
          </cell>
        </row>
        <row r="5">
          <cell r="A5">
            <v>3</v>
          </cell>
          <cell r="B5" t="str">
            <v>2024311439</v>
          </cell>
          <cell r="C5" t="str">
            <v>闫鸣珊</v>
          </cell>
          <cell r="E5" t="str">
            <v>会241</v>
          </cell>
          <cell r="K5">
            <v>74</v>
          </cell>
          <cell r="R5">
            <v>10</v>
          </cell>
          <cell r="S5">
            <v>20</v>
          </cell>
          <cell r="T5">
            <v>30</v>
          </cell>
        </row>
        <row r="6">
          <cell r="A6">
            <v>4</v>
          </cell>
          <cell r="B6" t="str">
            <v>2024311442</v>
          </cell>
          <cell r="C6" t="str">
            <v>王思媛</v>
          </cell>
          <cell r="E6" t="str">
            <v>会241</v>
          </cell>
          <cell r="K6">
            <v>44</v>
          </cell>
          <cell r="R6">
            <v>10</v>
          </cell>
          <cell r="S6">
            <v>15</v>
          </cell>
          <cell r="T6">
            <v>22</v>
          </cell>
        </row>
        <row r="7">
          <cell r="A7">
            <v>5</v>
          </cell>
          <cell r="B7" t="str">
            <v>2024311444</v>
          </cell>
          <cell r="C7" t="str">
            <v>沙佑安</v>
          </cell>
          <cell r="E7" t="str">
            <v>会241</v>
          </cell>
          <cell r="K7">
            <v>51</v>
          </cell>
          <cell r="R7">
            <v>10</v>
          </cell>
          <cell r="S7">
            <v>18</v>
          </cell>
          <cell r="T7">
            <v>28</v>
          </cell>
        </row>
        <row r="8">
          <cell r="A8">
            <v>6</v>
          </cell>
          <cell r="B8" t="str">
            <v>2024311445</v>
          </cell>
          <cell r="C8" t="str">
            <v>崔诗睿</v>
          </cell>
          <cell r="E8" t="str">
            <v>会241</v>
          </cell>
          <cell r="K8">
            <v>45</v>
          </cell>
          <cell r="R8">
            <v>9</v>
          </cell>
          <cell r="S8">
            <v>18</v>
          </cell>
          <cell r="T8">
            <v>27</v>
          </cell>
        </row>
        <row r="9">
          <cell r="A9">
            <v>7</v>
          </cell>
          <cell r="B9" t="str">
            <v>2024311446</v>
          </cell>
          <cell r="C9" t="str">
            <v>朱梓毓</v>
          </cell>
          <cell r="E9" t="str">
            <v>会241</v>
          </cell>
          <cell r="K9">
            <v>51</v>
          </cell>
          <cell r="R9">
            <v>10</v>
          </cell>
          <cell r="S9">
            <v>18</v>
          </cell>
          <cell r="T9">
            <v>26</v>
          </cell>
        </row>
        <row r="10">
          <cell r="A10">
            <v>8</v>
          </cell>
          <cell r="B10" t="str">
            <v>2024311447</v>
          </cell>
          <cell r="C10" t="str">
            <v>王玉姗姗</v>
          </cell>
          <cell r="E10" t="str">
            <v>会241</v>
          </cell>
          <cell r="K10">
            <v>53</v>
          </cell>
          <cell r="R10">
            <v>10</v>
          </cell>
          <cell r="S10">
            <v>19</v>
          </cell>
          <cell r="T10">
            <v>28</v>
          </cell>
        </row>
        <row r="11">
          <cell r="A11">
            <v>9</v>
          </cell>
          <cell r="B11" t="str">
            <v>2024311448</v>
          </cell>
          <cell r="C11" t="str">
            <v>窦爽朗</v>
          </cell>
          <cell r="E11" t="str">
            <v>会241</v>
          </cell>
          <cell r="K11">
            <v>38</v>
          </cell>
          <cell r="R11">
            <v>10</v>
          </cell>
          <cell r="S11">
            <v>16</v>
          </cell>
          <cell r="T11">
            <v>21</v>
          </cell>
        </row>
        <row r="12">
          <cell r="A12">
            <v>10</v>
          </cell>
          <cell r="B12" t="str">
            <v>2024311451</v>
          </cell>
          <cell r="C12" t="str">
            <v>李鹤</v>
          </cell>
          <cell r="E12" t="str">
            <v>会241</v>
          </cell>
          <cell r="K12">
            <v>39</v>
          </cell>
          <cell r="R12">
            <v>10</v>
          </cell>
          <cell r="S12">
            <v>15</v>
          </cell>
          <cell r="T12">
            <v>22</v>
          </cell>
        </row>
        <row r="13">
          <cell r="A13">
            <v>11</v>
          </cell>
          <cell r="B13" t="str">
            <v>2024311452</v>
          </cell>
          <cell r="C13" t="str">
            <v>李欣蕾</v>
          </cell>
          <cell r="E13" t="str">
            <v>会241</v>
          </cell>
          <cell r="K13">
            <v>60</v>
          </cell>
          <cell r="R13">
            <v>10</v>
          </cell>
          <cell r="S13">
            <v>20</v>
          </cell>
          <cell r="T13">
            <v>29</v>
          </cell>
        </row>
        <row r="14">
          <cell r="A14">
            <v>12</v>
          </cell>
          <cell r="B14" t="str">
            <v>2024311453</v>
          </cell>
          <cell r="C14" t="str">
            <v>张骏菲</v>
          </cell>
          <cell r="E14" t="str">
            <v>会241</v>
          </cell>
          <cell r="K14">
            <v>66</v>
          </cell>
          <cell r="R14">
            <v>10</v>
          </cell>
          <cell r="S14">
            <v>18</v>
          </cell>
          <cell r="T14">
            <v>27</v>
          </cell>
        </row>
        <row r="15">
          <cell r="A15">
            <v>13</v>
          </cell>
          <cell r="B15">
            <v>2024311454</v>
          </cell>
          <cell r="C15" t="str">
            <v>刘子嘉</v>
          </cell>
          <cell r="E15" t="str">
            <v>会241</v>
          </cell>
          <cell r="K15">
            <v>51</v>
          </cell>
          <cell r="R15">
            <v>10</v>
          </cell>
          <cell r="S15">
            <v>18</v>
          </cell>
          <cell r="T15">
            <v>26</v>
          </cell>
        </row>
        <row r="16">
          <cell r="A16">
            <v>14</v>
          </cell>
          <cell r="B16">
            <v>2024311456</v>
          </cell>
          <cell r="C16" t="str">
            <v>杨心淇</v>
          </cell>
          <cell r="E16" t="str">
            <v>会241</v>
          </cell>
          <cell r="K16">
            <v>46</v>
          </cell>
          <cell r="R16">
            <v>10</v>
          </cell>
          <cell r="S16">
            <v>16</v>
          </cell>
          <cell r="T16">
            <v>24</v>
          </cell>
        </row>
        <row r="17">
          <cell r="A17">
            <v>15</v>
          </cell>
          <cell r="B17" t="str">
            <v>2024311457</v>
          </cell>
          <cell r="C17" t="str">
            <v>韩筱冉</v>
          </cell>
          <cell r="E17" t="str">
            <v>会241</v>
          </cell>
          <cell r="K17">
            <v>72</v>
          </cell>
          <cell r="R17">
            <v>10</v>
          </cell>
          <cell r="S17">
            <v>20</v>
          </cell>
          <cell r="T17">
            <v>30</v>
          </cell>
        </row>
        <row r="18">
          <cell r="A18">
            <v>16</v>
          </cell>
          <cell r="B18" t="str">
            <v>2024311458</v>
          </cell>
          <cell r="C18" t="str">
            <v>南阳</v>
          </cell>
          <cell r="E18" t="str">
            <v>会241</v>
          </cell>
          <cell r="K18">
            <v>44</v>
          </cell>
          <cell r="R18">
            <v>10</v>
          </cell>
          <cell r="S18">
            <v>15</v>
          </cell>
          <cell r="T18">
            <v>22</v>
          </cell>
        </row>
        <row r="19">
          <cell r="A19">
            <v>17</v>
          </cell>
          <cell r="B19" t="str">
            <v>2024311459</v>
          </cell>
          <cell r="C19" t="str">
            <v>王玥瑶</v>
          </cell>
          <cell r="E19" t="str">
            <v>会241</v>
          </cell>
          <cell r="K19">
            <v>41</v>
          </cell>
          <cell r="R19">
            <v>10</v>
          </cell>
          <cell r="S19">
            <v>18</v>
          </cell>
          <cell r="T19">
            <v>26</v>
          </cell>
        </row>
        <row r="20">
          <cell r="A20">
            <v>18</v>
          </cell>
          <cell r="B20">
            <v>2024311460</v>
          </cell>
          <cell r="C20" t="str">
            <v>杨雨菲</v>
          </cell>
          <cell r="E20" t="str">
            <v>会241</v>
          </cell>
          <cell r="K20">
            <v>51</v>
          </cell>
          <cell r="R20">
            <v>9</v>
          </cell>
          <cell r="S20">
            <v>18</v>
          </cell>
          <cell r="T20">
            <v>26</v>
          </cell>
        </row>
        <row r="21">
          <cell r="A21">
            <v>19</v>
          </cell>
          <cell r="B21" t="str">
            <v>2024311461</v>
          </cell>
          <cell r="C21" t="str">
            <v>李泽君</v>
          </cell>
          <cell r="E21" t="str">
            <v>会241</v>
          </cell>
          <cell r="K21">
            <v>59</v>
          </cell>
          <cell r="R21">
            <v>10</v>
          </cell>
          <cell r="S21">
            <v>17</v>
          </cell>
          <cell r="T21">
            <v>30</v>
          </cell>
        </row>
        <row r="22">
          <cell r="A22">
            <v>20</v>
          </cell>
          <cell r="B22" t="str">
            <v>2024311463</v>
          </cell>
          <cell r="C22" t="str">
            <v>安元惠</v>
          </cell>
          <cell r="E22" t="str">
            <v>会241</v>
          </cell>
          <cell r="K22">
            <v>34</v>
          </cell>
          <cell r="R22">
            <v>9</v>
          </cell>
          <cell r="S22">
            <v>17</v>
          </cell>
          <cell r="T22">
            <v>22</v>
          </cell>
        </row>
        <row r="23">
          <cell r="A23">
            <v>21</v>
          </cell>
          <cell r="B23" t="str">
            <v>2024311465</v>
          </cell>
          <cell r="C23" t="str">
            <v>田兆博</v>
          </cell>
          <cell r="E23" t="str">
            <v>会241</v>
          </cell>
          <cell r="K23">
            <v>49</v>
          </cell>
          <cell r="R23">
            <v>9</v>
          </cell>
          <cell r="S23">
            <v>16</v>
          </cell>
          <cell r="T23">
            <v>24</v>
          </cell>
        </row>
        <row r="24">
          <cell r="A24">
            <v>22</v>
          </cell>
          <cell r="B24">
            <v>2024311466</v>
          </cell>
          <cell r="C24" t="str">
            <v>张亦涵</v>
          </cell>
          <cell r="E24" t="str">
            <v>会241</v>
          </cell>
          <cell r="K24">
            <v>55</v>
          </cell>
          <cell r="R24">
            <v>10</v>
          </cell>
          <cell r="S24">
            <v>17</v>
          </cell>
          <cell r="T24">
            <v>27</v>
          </cell>
        </row>
        <row r="25">
          <cell r="A25">
            <v>23</v>
          </cell>
          <cell r="B25" t="str">
            <v>2024311467</v>
          </cell>
          <cell r="C25" t="str">
            <v>佟伯炀</v>
          </cell>
          <cell r="E25" t="str">
            <v>会241</v>
          </cell>
          <cell r="K25">
            <v>43</v>
          </cell>
          <cell r="R25">
            <v>10</v>
          </cell>
          <cell r="S25">
            <v>14</v>
          </cell>
          <cell r="T25">
            <v>21</v>
          </cell>
        </row>
        <row r="26">
          <cell r="A26">
            <v>24</v>
          </cell>
          <cell r="B26" t="str">
            <v>2024311468</v>
          </cell>
          <cell r="C26" t="str">
            <v>陈天悦</v>
          </cell>
          <cell r="E26" t="str">
            <v>会241</v>
          </cell>
          <cell r="K26">
            <v>43</v>
          </cell>
          <cell r="R26">
            <v>9</v>
          </cell>
          <cell r="S26">
            <v>15</v>
          </cell>
          <cell r="T26">
            <v>23</v>
          </cell>
        </row>
        <row r="27">
          <cell r="A27">
            <v>25</v>
          </cell>
          <cell r="B27" t="str">
            <v>2024311469</v>
          </cell>
          <cell r="C27" t="str">
            <v>孙可欣</v>
          </cell>
          <cell r="E27" t="str">
            <v>会241</v>
          </cell>
          <cell r="K27">
            <v>53</v>
          </cell>
          <cell r="R27">
            <v>10</v>
          </cell>
          <cell r="S27">
            <v>18</v>
          </cell>
          <cell r="T27">
            <v>28</v>
          </cell>
        </row>
        <row r="28">
          <cell r="A28">
            <v>26</v>
          </cell>
          <cell r="B28" t="str">
            <v>2024311471</v>
          </cell>
          <cell r="C28" t="str">
            <v>尹姝仝</v>
          </cell>
          <cell r="E28" t="str">
            <v>会241</v>
          </cell>
          <cell r="K28">
            <v>52</v>
          </cell>
          <cell r="R28">
            <v>10</v>
          </cell>
          <cell r="S28">
            <v>17</v>
          </cell>
          <cell r="T28">
            <v>23</v>
          </cell>
        </row>
        <row r="29">
          <cell r="A29">
            <v>27</v>
          </cell>
          <cell r="B29" t="str">
            <v>2024311472</v>
          </cell>
          <cell r="C29" t="str">
            <v>冯楚楠</v>
          </cell>
          <cell r="E29" t="str">
            <v>会241</v>
          </cell>
          <cell r="K29">
            <v>77</v>
          </cell>
          <cell r="R29">
            <v>10</v>
          </cell>
          <cell r="S29">
            <v>20</v>
          </cell>
          <cell r="T29">
            <v>30</v>
          </cell>
        </row>
        <row r="30">
          <cell r="A30">
            <v>28</v>
          </cell>
          <cell r="B30" t="str">
            <v>2024311577</v>
          </cell>
          <cell r="C30" t="str">
            <v>周慧宇</v>
          </cell>
          <cell r="E30" t="str">
            <v>会241</v>
          </cell>
          <cell r="K30">
            <v>74</v>
          </cell>
          <cell r="R30">
            <v>10</v>
          </cell>
          <cell r="S30">
            <v>20</v>
          </cell>
          <cell r="T30">
            <v>30</v>
          </cell>
        </row>
        <row r="31">
          <cell r="A31">
            <v>29</v>
          </cell>
          <cell r="B31" t="str">
            <v>2024311579</v>
          </cell>
          <cell r="C31" t="str">
            <v>黄灿翔</v>
          </cell>
          <cell r="E31" t="str">
            <v>会241</v>
          </cell>
          <cell r="K31">
            <v>54</v>
          </cell>
          <cell r="R31">
            <v>10</v>
          </cell>
          <cell r="S31">
            <v>20</v>
          </cell>
          <cell r="T31">
            <v>30</v>
          </cell>
        </row>
        <row r="32">
          <cell r="A32">
            <v>30</v>
          </cell>
          <cell r="B32" t="str">
            <v>2024311613</v>
          </cell>
          <cell r="C32" t="str">
            <v>赵欣然</v>
          </cell>
          <cell r="E32" t="str">
            <v>会241</v>
          </cell>
          <cell r="K32">
            <v>76</v>
          </cell>
          <cell r="R32">
            <v>10</v>
          </cell>
          <cell r="S32">
            <v>20</v>
          </cell>
          <cell r="T32">
            <v>30</v>
          </cell>
        </row>
        <row r="33">
          <cell r="A33">
            <v>31</v>
          </cell>
          <cell r="B33">
            <v>2024311632</v>
          </cell>
          <cell r="C33" t="str">
            <v>赵艺萌</v>
          </cell>
          <cell r="E33" t="str">
            <v>会241</v>
          </cell>
          <cell r="K33">
            <v>57</v>
          </cell>
          <cell r="R33">
            <v>10</v>
          </cell>
          <cell r="S33">
            <v>19</v>
          </cell>
          <cell r="T33">
            <v>30</v>
          </cell>
        </row>
        <row r="34">
          <cell r="A34">
            <v>32</v>
          </cell>
          <cell r="B34">
            <v>2024311748</v>
          </cell>
          <cell r="C34" t="str">
            <v>毛若冰</v>
          </cell>
          <cell r="E34" t="str">
            <v>会241</v>
          </cell>
          <cell r="K34">
            <v>47</v>
          </cell>
          <cell r="R34">
            <v>10</v>
          </cell>
          <cell r="S34">
            <v>14</v>
          </cell>
          <cell r="T34">
            <v>20</v>
          </cell>
        </row>
        <row r="35">
          <cell r="A35">
            <v>33</v>
          </cell>
          <cell r="B35" t="str">
            <v>2024311795</v>
          </cell>
          <cell r="C35" t="str">
            <v>魏宇萱</v>
          </cell>
          <cell r="E35" t="str">
            <v>会241</v>
          </cell>
          <cell r="K35">
            <v>68</v>
          </cell>
          <cell r="R35">
            <v>10</v>
          </cell>
          <cell r="S35">
            <v>18</v>
          </cell>
          <cell r="T35">
            <v>29</v>
          </cell>
        </row>
        <row r="36">
          <cell r="A36">
            <v>34</v>
          </cell>
          <cell r="B36" t="str">
            <v>2024311831</v>
          </cell>
          <cell r="C36" t="str">
            <v>王思彤</v>
          </cell>
          <cell r="E36" t="str">
            <v>会241</v>
          </cell>
          <cell r="K36">
            <v>67</v>
          </cell>
          <cell r="R36">
            <v>10</v>
          </cell>
          <cell r="S36">
            <v>20</v>
          </cell>
          <cell r="T36">
            <v>30</v>
          </cell>
        </row>
        <row r="37">
          <cell r="A37">
            <v>35</v>
          </cell>
          <cell r="B37" t="str">
            <v>2024311840</v>
          </cell>
          <cell r="C37" t="str">
            <v>张曾岩</v>
          </cell>
          <cell r="E37" t="str">
            <v>会241</v>
          </cell>
          <cell r="K37">
            <v>64</v>
          </cell>
          <cell r="R37">
            <v>8</v>
          </cell>
          <cell r="S37">
            <v>20</v>
          </cell>
          <cell r="T37">
            <v>27</v>
          </cell>
        </row>
        <row r="38">
          <cell r="A38">
            <v>36</v>
          </cell>
          <cell r="B38" t="str">
            <v>2024311388</v>
          </cell>
          <cell r="C38" t="str">
            <v>管礼蕾</v>
          </cell>
          <cell r="E38" t="str">
            <v>会242</v>
          </cell>
          <cell r="K38">
            <v>69</v>
          </cell>
          <cell r="R38">
            <v>10</v>
          </cell>
          <cell r="S38">
            <v>20</v>
          </cell>
          <cell r="T38">
            <v>30</v>
          </cell>
        </row>
        <row r="39">
          <cell r="A39">
            <v>37</v>
          </cell>
          <cell r="B39" t="str">
            <v>2024311396</v>
          </cell>
          <cell r="C39" t="str">
            <v>孟凌昔</v>
          </cell>
          <cell r="E39" t="str">
            <v>会242</v>
          </cell>
          <cell r="K39">
            <v>68</v>
          </cell>
          <cell r="R39">
            <v>8</v>
          </cell>
          <cell r="S39">
            <v>20</v>
          </cell>
          <cell r="T39">
            <v>30</v>
          </cell>
        </row>
        <row r="40">
          <cell r="A40">
            <v>38</v>
          </cell>
          <cell r="B40" t="str">
            <v>2024311473</v>
          </cell>
          <cell r="C40" t="str">
            <v>张事成</v>
          </cell>
          <cell r="E40" t="str">
            <v>会242</v>
          </cell>
          <cell r="K40">
            <v>36</v>
          </cell>
          <cell r="R40">
            <v>10</v>
          </cell>
          <cell r="S40">
            <v>16</v>
          </cell>
          <cell r="T40">
            <v>22</v>
          </cell>
        </row>
        <row r="41">
          <cell r="A41">
            <v>39</v>
          </cell>
        </row>
        <row r="42">
          <cell r="A42">
            <v>40</v>
          </cell>
          <cell r="B42" t="str">
            <v>2024311475</v>
          </cell>
          <cell r="C42" t="str">
            <v>王鑫琦</v>
          </cell>
          <cell r="E42" t="str">
            <v>会242</v>
          </cell>
          <cell r="K42">
            <v>51</v>
          </cell>
          <cell r="R42">
            <v>9</v>
          </cell>
          <cell r="S42">
            <v>18</v>
          </cell>
          <cell r="T42">
            <v>25</v>
          </cell>
        </row>
        <row r="43">
          <cell r="A43">
            <v>41</v>
          </cell>
          <cell r="B43" t="str">
            <v>2024311476</v>
          </cell>
          <cell r="C43" t="str">
            <v>张仪诺</v>
          </cell>
          <cell r="E43" t="str">
            <v>会242</v>
          </cell>
          <cell r="K43">
            <v>53</v>
          </cell>
          <cell r="R43">
            <v>10</v>
          </cell>
          <cell r="S43">
            <v>20</v>
          </cell>
          <cell r="T43">
            <v>29</v>
          </cell>
        </row>
        <row r="44">
          <cell r="A44">
            <v>42</v>
          </cell>
          <cell r="B44" t="str">
            <v>2024311477</v>
          </cell>
          <cell r="C44" t="str">
            <v>陈鑫怡</v>
          </cell>
          <cell r="E44" t="str">
            <v>会242</v>
          </cell>
          <cell r="K44">
            <v>77</v>
          </cell>
          <cell r="R44">
            <v>10</v>
          </cell>
          <cell r="S44">
            <v>20</v>
          </cell>
          <cell r="T44">
            <v>30</v>
          </cell>
        </row>
        <row r="45">
          <cell r="A45">
            <v>43</v>
          </cell>
          <cell r="B45" t="str">
            <v>2024311478</v>
          </cell>
          <cell r="C45" t="str">
            <v>张金玉</v>
          </cell>
          <cell r="E45" t="str">
            <v>会242</v>
          </cell>
          <cell r="K45">
            <v>83</v>
          </cell>
          <cell r="R45">
            <v>10</v>
          </cell>
          <cell r="S45">
            <v>20</v>
          </cell>
          <cell r="T45">
            <v>30</v>
          </cell>
        </row>
        <row r="46">
          <cell r="A46">
            <v>44</v>
          </cell>
          <cell r="B46" t="str">
            <v>2024311479</v>
          </cell>
          <cell r="C46" t="str">
            <v>董心怡</v>
          </cell>
          <cell r="E46" t="str">
            <v>会242</v>
          </cell>
          <cell r="K46">
            <v>71</v>
          </cell>
          <cell r="R46">
            <v>10</v>
          </cell>
          <cell r="S46">
            <v>20</v>
          </cell>
          <cell r="T46">
            <v>30</v>
          </cell>
        </row>
        <row r="47">
          <cell r="A47">
            <v>45</v>
          </cell>
          <cell r="B47" t="str">
            <v>2024311480</v>
          </cell>
          <cell r="C47" t="str">
            <v>柯润杰</v>
          </cell>
          <cell r="E47" t="str">
            <v>会242</v>
          </cell>
          <cell r="K47">
            <v>41</v>
          </cell>
          <cell r="R47">
            <v>10</v>
          </cell>
          <cell r="S47">
            <v>15</v>
          </cell>
          <cell r="T47">
            <v>20</v>
          </cell>
        </row>
        <row r="48">
          <cell r="A48">
            <v>46</v>
          </cell>
          <cell r="B48" t="str">
            <v>2024311481</v>
          </cell>
          <cell r="C48" t="str">
            <v>赫敬宜</v>
          </cell>
          <cell r="E48" t="str">
            <v>会242</v>
          </cell>
          <cell r="K48">
            <v>79</v>
          </cell>
          <cell r="R48">
            <v>10</v>
          </cell>
          <cell r="S48">
            <v>20</v>
          </cell>
          <cell r="T48">
            <v>30</v>
          </cell>
        </row>
        <row r="49">
          <cell r="A49">
            <v>47</v>
          </cell>
          <cell r="B49" t="str">
            <v>2024311482</v>
          </cell>
          <cell r="C49" t="str">
            <v>胡欣蕊</v>
          </cell>
          <cell r="E49" t="str">
            <v>会242</v>
          </cell>
          <cell r="K49">
            <v>50</v>
          </cell>
          <cell r="R49">
            <v>10</v>
          </cell>
          <cell r="S49">
            <v>17</v>
          </cell>
          <cell r="T49">
            <v>24</v>
          </cell>
        </row>
        <row r="50">
          <cell r="A50">
            <v>48</v>
          </cell>
          <cell r="B50" t="str">
            <v>2024311483</v>
          </cell>
          <cell r="C50" t="str">
            <v>李炳坤</v>
          </cell>
          <cell r="E50" t="str">
            <v>会242</v>
          </cell>
          <cell r="K50">
            <v>42</v>
          </cell>
          <cell r="R50">
            <v>10</v>
          </cell>
          <cell r="S50">
            <v>19</v>
          </cell>
          <cell r="T50">
            <v>27</v>
          </cell>
        </row>
        <row r="51">
          <cell r="A51">
            <v>49</v>
          </cell>
          <cell r="B51">
            <v>2024311485</v>
          </cell>
          <cell r="C51" t="str">
            <v>王露瑶</v>
          </cell>
          <cell r="E51" t="str">
            <v>会242</v>
          </cell>
          <cell r="K51">
            <v>28</v>
          </cell>
          <cell r="R51">
            <v>10</v>
          </cell>
          <cell r="S51">
            <v>11</v>
          </cell>
          <cell r="T51">
            <v>10</v>
          </cell>
        </row>
        <row r="52">
          <cell r="A52">
            <v>50</v>
          </cell>
          <cell r="B52" t="str">
            <v>2024311486</v>
          </cell>
          <cell r="C52" t="str">
            <v>彭心怡</v>
          </cell>
          <cell r="E52" t="str">
            <v>会242</v>
          </cell>
          <cell r="K52">
            <v>87</v>
          </cell>
          <cell r="R52">
            <v>10</v>
          </cell>
          <cell r="S52">
            <v>20</v>
          </cell>
          <cell r="T52">
            <v>30</v>
          </cell>
        </row>
        <row r="53">
          <cell r="A53">
            <v>51</v>
          </cell>
          <cell r="B53" t="str">
            <v>2024311487</v>
          </cell>
          <cell r="C53" t="str">
            <v>王子锋</v>
          </cell>
          <cell r="E53" t="str">
            <v>会242</v>
          </cell>
          <cell r="K53">
            <v>58</v>
          </cell>
          <cell r="R53">
            <v>10</v>
          </cell>
          <cell r="S53">
            <v>20</v>
          </cell>
          <cell r="T53">
            <v>30</v>
          </cell>
        </row>
        <row r="54">
          <cell r="A54">
            <v>52</v>
          </cell>
          <cell r="B54" t="str">
            <v>2024311488</v>
          </cell>
          <cell r="C54" t="str">
            <v>史泽澳</v>
          </cell>
          <cell r="E54" t="str">
            <v>会242</v>
          </cell>
          <cell r="K54">
            <v>58</v>
          </cell>
          <cell r="R54">
            <v>10</v>
          </cell>
          <cell r="S54">
            <v>20</v>
          </cell>
          <cell r="T54">
            <v>30</v>
          </cell>
        </row>
        <row r="55">
          <cell r="A55">
            <v>53</v>
          </cell>
          <cell r="B55" t="str">
            <v>2024311489</v>
          </cell>
          <cell r="C55" t="str">
            <v>李泽浩</v>
          </cell>
          <cell r="E55" t="str">
            <v>会242</v>
          </cell>
          <cell r="K55">
            <v>49</v>
          </cell>
          <cell r="R55">
            <v>10</v>
          </cell>
          <cell r="S55">
            <v>14</v>
          </cell>
          <cell r="T55">
            <v>24</v>
          </cell>
        </row>
        <row r="56">
          <cell r="A56">
            <v>54</v>
          </cell>
          <cell r="B56" t="str">
            <v>2024311490</v>
          </cell>
          <cell r="C56" t="str">
            <v>王静怡</v>
          </cell>
          <cell r="E56" t="str">
            <v>会242</v>
          </cell>
          <cell r="K56">
            <v>40</v>
          </cell>
          <cell r="R56">
            <v>10</v>
          </cell>
          <cell r="S56">
            <v>14</v>
          </cell>
          <cell r="T56">
            <v>23</v>
          </cell>
        </row>
        <row r="57">
          <cell r="A57">
            <v>55</v>
          </cell>
          <cell r="B57" t="str">
            <v>2024311491</v>
          </cell>
          <cell r="C57" t="str">
            <v>王雨琪</v>
          </cell>
          <cell r="E57" t="str">
            <v>会242</v>
          </cell>
          <cell r="K57">
            <v>54</v>
          </cell>
          <cell r="R57">
            <v>10</v>
          </cell>
          <cell r="S57">
            <v>19</v>
          </cell>
          <cell r="T57">
            <v>30</v>
          </cell>
        </row>
        <row r="58">
          <cell r="A58">
            <v>56</v>
          </cell>
          <cell r="B58" t="str">
            <v>2024311493</v>
          </cell>
          <cell r="C58" t="str">
            <v>刘奕含</v>
          </cell>
          <cell r="E58" t="str">
            <v>会242</v>
          </cell>
          <cell r="K58">
            <v>51</v>
          </cell>
          <cell r="R58">
            <v>9</v>
          </cell>
          <cell r="S58">
            <v>18</v>
          </cell>
          <cell r="T58">
            <v>25</v>
          </cell>
        </row>
        <row r="59">
          <cell r="A59">
            <v>57</v>
          </cell>
          <cell r="B59" t="str">
            <v>2024311494</v>
          </cell>
          <cell r="C59" t="str">
            <v>王雨晴</v>
          </cell>
          <cell r="E59" t="str">
            <v>会242</v>
          </cell>
          <cell r="K59">
            <v>83</v>
          </cell>
          <cell r="R59">
            <v>10</v>
          </cell>
          <cell r="S59">
            <v>20</v>
          </cell>
          <cell r="T59">
            <v>30</v>
          </cell>
        </row>
        <row r="60">
          <cell r="A60">
            <v>58</v>
          </cell>
          <cell r="B60" t="str">
            <v>2024311495</v>
          </cell>
          <cell r="C60" t="str">
            <v>巴文博</v>
          </cell>
          <cell r="E60" t="str">
            <v>会242</v>
          </cell>
          <cell r="K60">
            <v>48</v>
          </cell>
          <cell r="R60">
            <v>10</v>
          </cell>
          <cell r="S60">
            <v>18</v>
          </cell>
          <cell r="T60">
            <v>28</v>
          </cell>
        </row>
        <row r="61">
          <cell r="A61">
            <v>59</v>
          </cell>
          <cell r="B61" t="str">
            <v>2024311496</v>
          </cell>
          <cell r="C61" t="str">
            <v>梁鸣</v>
          </cell>
          <cell r="E61" t="str">
            <v>会242</v>
          </cell>
          <cell r="K61">
            <v>43</v>
          </cell>
          <cell r="R61">
            <v>10</v>
          </cell>
          <cell r="S61">
            <v>15</v>
          </cell>
          <cell r="T61">
            <v>23</v>
          </cell>
        </row>
        <row r="62">
          <cell r="A62">
            <v>60</v>
          </cell>
          <cell r="B62">
            <v>2024311497</v>
          </cell>
          <cell r="C62" t="str">
            <v>肖阳</v>
          </cell>
          <cell r="E62" t="str">
            <v>会242</v>
          </cell>
          <cell r="K62">
            <v>79</v>
          </cell>
          <cell r="R62">
            <v>10</v>
          </cell>
          <cell r="S62">
            <v>20</v>
          </cell>
          <cell r="T62">
            <v>30</v>
          </cell>
        </row>
        <row r="63">
          <cell r="A63">
            <v>61</v>
          </cell>
          <cell r="B63" t="str">
            <v>2024311498</v>
          </cell>
          <cell r="C63" t="str">
            <v>付昭怡</v>
          </cell>
          <cell r="E63" t="str">
            <v>会242</v>
          </cell>
          <cell r="K63">
            <v>61</v>
          </cell>
          <cell r="R63">
            <v>10</v>
          </cell>
          <cell r="S63">
            <v>20</v>
          </cell>
          <cell r="T63">
            <v>29</v>
          </cell>
        </row>
        <row r="64">
          <cell r="A64">
            <v>62</v>
          </cell>
          <cell r="B64" t="str">
            <v>2024311499</v>
          </cell>
          <cell r="C64" t="str">
            <v>张语迪</v>
          </cell>
          <cell r="E64" t="str">
            <v>会242</v>
          </cell>
          <cell r="K64">
            <v>49</v>
          </cell>
          <cell r="R64">
            <v>10</v>
          </cell>
          <cell r="S64">
            <v>16</v>
          </cell>
          <cell r="T64">
            <v>26</v>
          </cell>
        </row>
        <row r="65">
          <cell r="A65">
            <v>63</v>
          </cell>
          <cell r="B65" t="str">
            <v>2024311500</v>
          </cell>
          <cell r="C65" t="str">
            <v>朱靖雯</v>
          </cell>
          <cell r="E65" t="str">
            <v>会242</v>
          </cell>
          <cell r="K65">
            <v>40</v>
          </cell>
          <cell r="R65">
            <v>9</v>
          </cell>
          <cell r="S65">
            <v>15</v>
          </cell>
          <cell r="T65">
            <v>23</v>
          </cell>
        </row>
        <row r="66">
          <cell r="A66">
            <v>64</v>
          </cell>
          <cell r="B66" t="str">
            <v>2024311501</v>
          </cell>
          <cell r="C66" t="str">
            <v>王雨霏</v>
          </cell>
          <cell r="E66" t="str">
            <v>会242</v>
          </cell>
          <cell r="K66">
            <v>52</v>
          </cell>
          <cell r="R66">
            <v>10</v>
          </cell>
          <cell r="S66">
            <v>14</v>
          </cell>
          <cell r="T66">
            <v>20</v>
          </cell>
        </row>
        <row r="67">
          <cell r="A67">
            <v>65</v>
          </cell>
          <cell r="B67" t="str">
            <v>2024311502</v>
          </cell>
          <cell r="C67" t="str">
            <v>郑司琦</v>
          </cell>
          <cell r="E67" t="str">
            <v>会242</v>
          </cell>
          <cell r="K67">
            <v>48</v>
          </cell>
          <cell r="R67">
            <v>10</v>
          </cell>
          <cell r="S67">
            <v>15</v>
          </cell>
          <cell r="T67">
            <v>24</v>
          </cell>
        </row>
        <row r="68">
          <cell r="A68">
            <v>66</v>
          </cell>
          <cell r="B68" t="str">
            <v>2024311504</v>
          </cell>
          <cell r="C68" t="str">
            <v>王妃</v>
          </cell>
          <cell r="E68" t="str">
            <v>会242</v>
          </cell>
          <cell r="K68">
            <v>89</v>
          </cell>
          <cell r="R68">
            <v>10</v>
          </cell>
          <cell r="S68">
            <v>20</v>
          </cell>
          <cell r="T68">
            <v>30</v>
          </cell>
        </row>
        <row r="69">
          <cell r="A69">
            <v>67</v>
          </cell>
          <cell r="B69" t="str">
            <v>2024311505</v>
          </cell>
          <cell r="C69" t="str">
            <v>王子谏</v>
          </cell>
          <cell r="E69" t="str">
            <v>会242</v>
          </cell>
          <cell r="K69">
            <v>51</v>
          </cell>
          <cell r="R69">
            <v>9</v>
          </cell>
          <cell r="S69">
            <v>18</v>
          </cell>
          <cell r="T69">
            <v>25</v>
          </cell>
        </row>
        <row r="70">
          <cell r="A70">
            <v>68</v>
          </cell>
          <cell r="B70" t="str">
            <v>2024311506</v>
          </cell>
          <cell r="C70" t="str">
            <v>刘硕</v>
          </cell>
          <cell r="E70" t="str">
            <v>会242</v>
          </cell>
          <cell r="K70">
            <v>59</v>
          </cell>
          <cell r="R70">
            <v>10</v>
          </cell>
          <cell r="S70">
            <v>20</v>
          </cell>
          <cell r="T70">
            <v>28</v>
          </cell>
        </row>
        <row r="71">
          <cell r="A71">
            <v>69</v>
          </cell>
          <cell r="B71" t="str">
            <v>2024311580</v>
          </cell>
          <cell r="C71" t="str">
            <v>李佳仪</v>
          </cell>
          <cell r="E71" t="str">
            <v>会242</v>
          </cell>
          <cell r="K71">
            <v>70</v>
          </cell>
          <cell r="R71">
            <v>10</v>
          </cell>
          <cell r="S71">
            <v>20</v>
          </cell>
          <cell r="T71">
            <v>30</v>
          </cell>
        </row>
        <row r="72">
          <cell r="A72">
            <v>70</v>
          </cell>
          <cell r="B72" t="str">
            <v>2024311625</v>
          </cell>
          <cell r="C72" t="str">
            <v>夏旭然</v>
          </cell>
          <cell r="E72" t="str">
            <v>会242</v>
          </cell>
          <cell r="K72">
            <v>77</v>
          </cell>
          <cell r="R72">
            <v>10</v>
          </cell>
          <cell r="S72">
            <v>20</v>
          </cell>
          <cell r="T72">
            <v>30</v>
          </cell>
        </row>
        <row r="73">
          <cell r="A73">
            <v>71</v>
          </cell>
          <cell r="B73" t="str">
            <v>2024311670</v>
          </cell>
          <cell r="C73" t="str">
            <v>疏佳依</v>
          </cell>
          <cell r="E73" t="str">
            <v>会242</v>
          </cell>
          <cell r="K73">
            <v>37</v>
          </cell>
          <cell r="R73">
            <v>10</v>
          </cell>
          <cell r="S73">
            <v>16</v>
          </cell>
          <cell r="T73">
            <v>22</v>
          </cell>
        </row>
        <row r="74">
          <cell r="A74">
            <v>72</v>
          </cell>
          <cell r="B74" t="str">
            <v>2024310181</v>
          </cell>
          <cell r="C74" t="str">
            <v>张家庚</v>
          </cell>
          <cell r="E74" t="str">
            <v>会243</v>
          </cell>
          <cell r="K74">
            <v>48</v>
          </cell>
          <cell r="R74">
            <v>10</v>
          </cell>
          <cell r="S74">
            <v>15</v>
          </cell>
          <cell r="T74">
            <v>24</v>
          </cell>
        </row>
        <row r="75">
          <cell r="A75">
            <v>73</v>
          </cell>
          <cell r="B75" t="str">
            <v>2024310394</v>
          </cell>
          <cell r="C75" t="str">
            <v>谭景彬</v>
          </cell>
          <cell r="E75" t="str">
            <v>会243</v>
          </cell>
          <cell r="K75">
            <v>76</v>
          </cell>
          <cell r="R75">
            <v>8</v>
          </cell>
          <cell r="S75">
            <v>20</v>
          </cell>
          <cell r="T75">
            <v>30</v>
          </cell>
        </row>
        <row r="76">
          <cell r="A76">
            <v>74</v>
          </cell>
          <cell r="B76" t="str">
            <v>2024311295</v>
          </cell>
          <cell r="C76" t="str">
            <v>王雪菲</v>
          </cell>
          <cell r="E76" t="str">
            <v>会243</v>
          </cell>
          <cell r="K76">
            <v>64</v>
          </cell>
          <cell r="R76">
            <v>9</v>
          </cell>
          <cell r="S76">
            <v>20</v>
          </cell>
          <cell r="T76">
            <v>30</v>
          </cell>
        </row>
        <row r="77">
          <cell r="A77">
            <v>75</v>
          </cell>
          <cell r="B77">
            <v>2024311317</v>
          </cell>
          <cell r="C77" t="str">
            <v>夏珊</v>
          </cell>
          <cell r="E77" t="str">
            <v>会243</v>
          </cell>
          <cell r="K77">
            <v>76</v>
          </cell>
          <cell r="R77">
            <v>10</v>
          </cell>
          <cell r="S77">
            <v>20</v>
          </cell>
          <cell r="T77">
            <v>30</v>
          </cell>
        </row>
        <row r="78">
          <cell r="A78">
            <v>76</v>
          </cell>
          <cell r="B78" t="str">
            <v>2024311355</v>
          </cell>
          <cell r="C78" t="str">
            <v>陈博洋</v>
          </cell>
          <cell r="E78" t="str">
            <v>会243</v>
          </cell>
          <cell r="K78">
            <v>39</v>
          </cell>
          <cell r="R78">
            <v>9</v>
          </cell>
          <cell r="S78">
            <v>15</v>
          </cell>
          <cell r="T78">
            <v>23</v>
          </cell>
        </row>
        <row r="79">
          <cell r="A79">
            <v>77</v>
          </cell>
          <cell r="B79" t="str">
            <v>2024311367</v>
          </cell>
          <cell r="C79" t="str">
            <v>宋忻浓</v>
          </cell>
          <cell r="E79" t="str">
            <v>会243</v>
          </cell>
          <cell r="K79">
            <v>53</v>
          </cell>
          <cell r="R79">
            <v>10</v>
          </cell>
          <cell r="S79">
            <v>15</v>
          </cell>
          <cell r="T79">
            <v>25</v>
          </cell>
        </row>
        <row r="80">
          <cell r="A80">
            <v>78</v>
          </cell>
          <cell r="B80" t="str">
            <v>2024311368</v>
          </cell>
          <cell r="C80" t="str">
            <v>卓博雅</v>
          </cell>
          <cell r="E80" t="str">
            <v>会243</v>
          </cell>
          <cell r="K80">
            <v>52</v>
          </cell>
          <cell r="R80">
            <v>9</v>
          </cell>
          <cell r="S80">
            <v>18</v>
          </cell>
          <cell r="T80">
            <v>28</v>
          </cell>
        </row>
        <row r="81">
          <cell r="A81">
            <v>79</v>
          </cell>
          <cell r="B81" t="str">
            <v>2024311373</v>
          </cell>
          <cell r="C81" t="str">
            <v>杜安琪</v>
          </cell>
          <cell r="E81" t="str">
            <v>会243</v>
          </cell>
          <cell r="K81">
            <v>58</v>
          </cell>
          <cell r="R81">
            <v>10</v>
          </cell>
          <cell r="S81">
            <v>19</v>
          </cell>
          <cell r="T81">
            <v>28</v>
          </cell>
        </row>
        <row r="82">
          <cell r="A82">
            <v>80</v>
          </cell>
          <cell r="B82" t="str">
            <v>2024311380</v>
          </cell>
          <cell r="C82" t="str">
            <v>曹轶</v>
          </cell>
          <cell r="E82" t="str">
            <v>会243</v>
          </cell>
          <cell r="K82">
            <v>47</v>
          </cell>
          <cell r="R82">
            <v>10</v>
          </cell>
          <cell r="S82">
            <v>17</v>
          </cell>
          <cell r="T82">
            <v>26</v>
          </cell>
        </row>
        <row r="83">
          <cell r="A83">
            <v>81</v>
          </cell>
          <cell r="B83" t="str">
            <v>2024311387</v>
          </cell>
          <cell r="C83" t="str">
            <v>尤婉嘉</v>
          </cell>
          <cell r="E83" t="str">
            <v>会243</v>
          </cell>
          <cell r="K83">
            <v>63</v>
          </cell>
          <cell r="R83">
            <v>10</v>
          </cell>
          <cell r="S83">
            <v>20</v>
          </cell>
          <cell r="T83">
            <v>30</v>
          </cell>
        </row>
        <row r="84">
          <cell r="A84">
            <v>82</v>
          </cell>
          <cell r="B84" t="str">
            <v>2024311443</v>
          </cell>
          <cell r="C84" t="str">
            <v>周思思</v>
          </cell>
          <cell r="E84" t="str">
            <v>会243</v>
          </cell>
          <cell r="K84">
            <v>56</v>
          </cell>
          <cell r="R84">
            <v>10</v>
          </cell>
          <cell r="S84">
            <v>19</v>
          </cell>
          <cell r="T84">
            <v>29</v>
          </cell>
        </row>
        <row r="85">
          <cell r="A85">
            <v>83</v>
          </cell>
          <cell r="B85" t="str">
            <v>2024311449</v>
          </cell>
          <cell r="C85" t="str">
            <v>孙世佳</v>
          </cell>
          <cell r="E85" t="str">
            <v>会243</v>
          </cell>
          <cell r="K85">
            <v>67</v>
          </cell>
          <cell r="R85">
            <v>10</v>
          </cell>
          <cell r="S85">
            <v>20</v>
          </cell>
          <cell r="T85">
            <v>30</v>
          </cell>
        </row>
        <row r="86">
          <cell r="A86">
            <v>84</v>
          </cell>
          <cell r="B86" t="str">
            <v>2024311450</v>
          </cell>
          <cell r="C86" t="str">
            <v>张嵘淏</v>
          </cell>
          <cell r="E86" t="str">
            <v>会243</v>
          </cell>
          <cell r="K86">
            <v>49</v>
          </cell>
          <cell r="R86">
            <v>10</v>
          </cell>
          <cell r="S86">
            <v>18</v>
          </cell>
          <cell r="T86">
            <v>24</v>
          </cell>
        </row>
        <row r="87">
          <cell r="A87">
            <v>85</v>
          </cell>
          <cell r="B87" t="str">
            <v>2024311455</v>
          </cell>
          <cell r="C87" t="str">
            <v>胡昊天</v>
          </cell>
          <cell r="E87" t="str">
            <v>会243</v>
          </cell>
          <cell r="K87">
            <v>73</v>
          </cell>
          <cell r="R87">
            <v>10</v>
          </cell>
          <cell r="S87">
            <v>20</v>
          </cell>
          <cell r="T87">
            <v>30</v>
          </cell>
        </row>
        <row r="88">
          <cell r="A88">
            <v>86</v>
          </cell>
          <cell r="B88" t="str">
            <v>2024311462</v>
          </cell>
          <cell r="C88" t="str">
            <v>李兆博</v>
          </cell>
          <cell r="E88" t="str">
            <v>会243</v>
          </cell>
          <cell r="K88">
            <v>44</v>
          </cell>
          <cell r="R88">
            <v>9</v>
          </cell>
          <cell r="S88">
            <v>17</v>
          </cell>
          <cell r="T88">
            <v>23</v>
          </cell>
        </row>
        <row r="89">
          <cell r="A89">
            <v>87</v>
          </cell>
          <cell r="B89" t="str">
            <v>2024311464</v>
          </cell>
          <cell r="C89" t="str">
            <v>周自厚</v>
          </cell>
          <cell r="E89" t="str">
            <v>会243</v>
          </cell>
          <cell r="K89">
            <v>30</v>
          </cell>
          <cell r="R89">
            <v>9</v>
          </cell>
          <cell r="S89">
            <v>16</v>
          </cell>
          <cell r="T89">
            <v>23</v>
          </cell>
        </row>
        <row r="90">
          <cell r="A90">
            <v>88</v>
          </cell>
          <cell r="B90" t="str">
            <v>2024311470</v>
          </cell>
          <cell r="C90" t="str">
            <v>龚欣玥</v>
          </cell>
          <cell r="E90" t="str">
            <v>会243</v>
          </cell>
          <cell r="K90">
            <v>59</v>
          </cell>
          <cell r="R90">
            <v>9</v>
          </cell>
          <cell r="S90">
            <v>19</v>
          </cell>
          <cell r="T90">
            <v>29</v>
          </cell>
        </row>
        <row r="91">
          <cell r="A91">
            <v>89</v>
          </cell>
          <cell r="B91">
            <v>2024311503</v>
          </cell>
          <cell r="C91" t="str">
            <v>元莺静</v>
          </cell>
          <cell r="E91" t="str">
            <v>会243</v>
          </cell>
          <cell r="K91">
            <v>85</v>
          </cell>
          <cell r="R91">
            <v>10</v>
          </cell>
          <cell r="S91">
            <v>20</v>
          </cell>
          <cell r="T91">
            <v>30</v>
          </cell>
        </row>
        <row r="92">
          <cell r="A92">
            <v>90</v>
          </cell>
          <cell r="B92" t="str">
            <v>2024311517</v>
          </cell>
          <cell r="C92" t="str">
            <v>张睿桐</v>
          </cell>
          <cell r="E92" t="str">
            <v>会243</v>
          </cell>
          <cell r="K92">
            <v>37</v>
          </cell>
          <cell r="R92">
            <v>10</v>
          </cell>
          <cell r="S92">
            <v>14</v>
          </cell>
          <cell r="T92">
            <v>22</v>
          </cell>
        </row>
        <row r="93">
          <cell r="A93">
            <v>91</v>
          </cell>
          <cell r="B93" t="str">
            <v>2024311534</v>
          </cell>
          <cell r="C93" t="str">
            <v>郭瀑语</v>
          </cell>
          <cell r="E93" t="str">
            <v>会243</v>
          </cell>
          <cell r="K93">
            <v>63</v>
          </cell>
          <cell r="R93">
            <v>9</v>
          </cell>
          <cell r="S93">
            <v>20</v>
          </cell>
          <cell r="T93">
            <v>30</v>
          </cell>
        </row>
        <row r="94">
          <cell r="A94">
            <v>92</v>
          </cell>
          <cell r="B94">
            <v>2024311539</v>
          </cell>
          <cell r="C94" t="str">
            <v>张晨蕊</v>
          </cell>
          <cell r="E94" t="str">
            <v>会243</v>
          </cell>
          <cell r="K94">
            <v>60</v>
          </cell>
          <cell r="R94">
            <v>10</v>
          </cell>
          <cell r="S94">
            <v>20</v>
          </cell>
          <cell r="T94">
            <v>30</v>
          </cell>
        </row>
        <row r="95">
          <cell r="A95">
            <v>93</v>
          </cell>
          <cell r="B95">
            <v>2024311582</v>
          </cell>
          <cell r="C95" t="str">
            <v>杨淑婷</v>
          </cell>
          <cell r="E95" t="str">
            <v>会243</v>
          </cell>
          <cell r="K95">
            <v>63</v>
          </cell>
          <cell r="R95">
            <v>8</v>
          </cell>
          <cell r="S95">
            <v>18</v>
          </cell>
          <cell r="T95">
            <v>29</v>
          </cell>
        </row>
        <row r="96">
          <cell r="A96">
            <v>94</v>
          </cell>
          <cell r="B96" t="str">
            <v>2024311596</v>
          </cell>
          <cell r="C96" t="str">
            <v>张睿婷</v>
          </cell>
          <cell r="E96" t="str">
            <v>会243</v>
          </cell>
          <cell r="K96">
            <v>28</v>
          </cell>
          <cell r="R96">
            <v>9</v>
          </cell>
          <cell r="S96">
            <v>11</v>
          </cell>
          <cell r="T96">
            <v>10</v>
          </cell>
        </row>
        <row r="97">
          <cell r="A97">
            <v>95</v>
          </cell>
          <cell r="B97">
            <v>2024311598</v>
          </cell>
          <cell r="C97" t="str">
            <v>张百丽</v>
          </cell>
          <cell r="E97" t="str">
            <v>会243</v>
          </cell>
          <cell r="K97">
            <v>47</v>
          </cell>
          <cell r="R97">
            <v>9</v>
          </cell>
          <cell r="S97">
            <v>15</v>
          </cell>
          <cell r="T97">
            <v>22</v>
          </cell>
        </row>
        <row r="98">
          <cell r="A98">
            <v>96</v>
          </cell>
          <cell r="B98" t="str">
            <v>2024311607</v>
          </cell>
          <cell r="C98" t="str">
            <v>赵宇暄</v>
          </cell>
          <cell r="E98" t="str">
            <v>会243</v>
          </cell>
          <cell r="K98">
            <v>90</v>
          </cell>
          <cell r="R98">
            <v>10</v>
          </cell>
          <cell r="S98">
            <v>20</v>
          </cell>
          <cell r="T98">
            <v>30</v>
          </cell>
        </row>
        <row r="99">
          <cell r="A99">
            <v>97</v>
          </cell>
          <cell r="B99">
            <v>2024311626</v>
          </cell>
          <cell r="C99" t="str">
            <v>王姝颖</v>
          </cell>
          <cell r="E99" t="str">
            <v>会243</v>
          </cell>
          <cell r="K99">
            <v>34</v>
          </cell>
          <cell r="R99">
            <v>10</v>
          </cell>
          <cell r="S99">
            <v>14</v>
          </cell>
          <cell r="T99">
            <v>23</v>
          </cell>
        </row>
        <row r="100">
          <cell r="A100">
            <v>98</v>
          </cell>
          <cell r="B100" t="str">
            <v>2024311630</v>
          </cell>
          <cell r="C100" t="str">
            <v>李震宇</v>
          </cell>
          <cell r="E100" t="str">
            <v>会243</v>
          </cell>
          <cell r="K100">
            <v>37</v>
          </cell>
          <cell r="R100">
            <v>9</v>
          </cell>
          <cell r="S100">
            <v>17</v>
          </cell>
          <cell r="T100">
            <v>22</v>
          </cell>
        </row>
        <row r="101">
          <cell r="A101">
            <v>99</v>
          </cell>
          <cell r="B101" t="str">
            <v>2024311643</v>
          </cell>
          <cell r="C101" t="str">
            <v>王泳淇</v>
          </cell>
          <cell r="E101" t="str">
            <v>会243</v>
          </cell>
          <cell r="K101">
            <v>36</v>
          </cell>
          <cell r="R101">
            <v>8</v>
          </cell>
          <cell r="S101">
            <v>18</v>
          </cell>
          <cell r="T101">
            <v>20</v>
          </cell>
        </row>
        <row r="102">
          <cell r="A102">
            <v>100</v>
          </cell>
          <cell r="B102" t="str">
            <v>2024311652</v>
          </cell>
          <cell r="C102" t="str">
            <v>李嘉逸</v>
          </cell>
          <cell r="E102" t="str">
            <v>会243</v>
          </cell>
          <cell r="K102">
            <v>50</v>
          </cell>
          <cell r="R102">
            <v>10</v>
          </cell>
          <cell r="S102">
            <v>17</v>
          </cell>
          <cell r="T102">
            <v>24</v>
          </cell>
        </row>
        <row r="103">
          <cell r="A103">
            <v>101</v>
          </cell>
          <cell r="B103" t="str">
            <v>2024311682</v>
          </cell>
          <cell r="C103" t="str">
            <v>宋奕豪</v>
          </cell>
          <cell r="E103" t="str">
            <v>会243</v>
          </cell>
          <cell r="K103">
            <v>33</v>
          </cell>
          <cell r="R103">
            <v>10</v>
          </cell>
          <cell r="S103">
            <v>15</v>
          </cell>
          <cell r="T103">
            <v>22</v>
          </cell>
        </row>
        <row r="104">
          <cell r="A104">
            <v>102</v>
          </cell>
          <cell r="B104" t="str">
            <v>2024311689</v>
          </cell>
          <cell r="C104" t="str">
            <v>李云鹏</v>
          </cell>
          <cell r="E104" t="str">
            <v>会243</v>
          </cell>
          <cell r="K104">
            <v>42</v>
          </cell>
          <cell r="R104">
            <v>10</v>
          </cell>
          <cell r="S104">
            <v>15</v>
          </cell>
          <cell r="T104">
            <v>23</v>
          </cell>
        </row>
        <row r="105">
          <cell r="A105">
            <v>103</v>
          </cell>
          <cell r="B105" t="str">
            <v>2024311700</v>
          </cell>
          <cell r="C105" t="str">
            <v>王坤</v>
          </cell>
          <cell r="E105" t="str">
            <v>会243</v>
          </cell>
          <cell r="K105">
            <v>46</v>
          </cell>
          <cell r="R105">
            <v>10</v>
          </cell>
          <cell r="S105">
            <v>14</v>
          </cell>
          <cell r="T105">
            <v>24</v>
          </cell>
        </row>
        <row r="106">
          <cell r="A106">
            <v>104</v>
          </cell>
          <cell r="B106">
            <v>2024311752</v>
          </cell>
          <cell r="C106" t="str">
            <v>孙心雨</v>
          </cell>
          <cell r="E106" t="str">
            <v>会243</v>
          </cell>
          <cell r="K106">
            <v>50</v>
          </cell>
          <cell r="R106">
            <v>10</v>
          </cell>
          <cell r="S106">
            <v>18</v>
          </cell>
          <cell r="T106">
            <v>27</v>
          </cell>
        </row>
        <row r="107">
          <cell r="A107">
            <v>105</v>
          </cell>
          <cell r="B107" t="str">
            <v>2024311757</v>
          </cell>
          <cell r="C107" t="str">
            <v>杨天昊</v>
          </cell>
          <cell r="E107" t="str">
            <v>会243</v>
          </cell>
          <cell r="K107">
            <v>90</v>
          </cell>
          <cell r="R107">
            <v>9</v>
          </cell>
          <cell r="S107">
            <v>20</v>
          </cell>
          <cell r="T107">
            <v>30</v>
          </cell>
        </row>
        <row r="108">
          <cell r="A108">
            <v>106</v>
          </cell>
          <cell r="B108" t="str">
            <v>2024311759</v>
          </cell>
          <cell r="C108" t="str">
            <v>买佳怡</v>
          </cell>
          <cell r="E108" t="str">
            <v>会243</v>
          </cell>
          <cell r="K108">
            <v>59</v>
          </cell>
          <cell r="R108">
            <v>10</v>
          </cell>
          <cell r="S108">
            <v>18</v>
          </cell>
          <cell r="T108">
            <v>30</v>
          </cell>
        </row>
        <row r="109">
          <cell r="A109">
            <v>107</v>
          </cell>
          <cell r="B109" t="str">
            <v>2024311830</v>
          </cell>
          <cell r="C109" t="str">
            <v>赵雨彤</v>
          </cell>
          <cell r="E109" t="str">
            <v>会243</v>
          </cell>
          <cell r="K109">
            <v>49</v>
          </cell>
          <cell r="R109">
            <v>9</v>
          </cell>
          <cell r="S109">
            <v>15</v>
          </cell>
          <cell r="T109">
            <v>25</v>
          </cell>
        </row>
        <row r="110">
          <cell r="A110">
            <v>108</v>
          </cell>
          <cell r="B110" t="str">
            <v>2024311841</v>
          </cell>
          <cell r="C110" t="str">
            <v>张凌嘉</v>
          </cell>
          <cell r="E110" t="str">
            <v>会243</v>
          </cell>
          <cell r="K110">
            <v>39</v>
          </cell>
          <cell r="R110">
            <v>10</v>
          </cell>
          <cell r="S110">
            <v>15</v>
          </cell>
          <cell r="T110">
            <v>23</v>
          </cell>
        </row>
        <row r="111">
          <cell r="A111">
            <v>109</v>
          </cell>
          <cell r="B111" t="str">
            <v>2024311849</v>
          </cell>
          <cell r="C111" t="str">
            <v>王林清</v>
          </cell>
          <cell r="E111" t="str">
            <v>会243</v>
          </cell>
          <cell r="K111">
            <v>35</v>
          </cell>
          <cell r="R111">
            <v>8</v>
          </cell>
          <cell r="S111">
            <v>17</v>
          </cell>
          <cell r="T111">
            <v>22</v>
          </cell>
        </row>
        <row r="112">
          <cell r="A112">
            <v>110</v>
          </cell>
          <cell r="B112" t="str">
            <v>2024311857</v>
          </cell>
          <cell r="C112" t="str">
            <v>张逸鹤</v>
          </cell>
          <cell r="E112" t="str">
            <v>会243</v>
          </cell>
          <cell r="K112">
            <v>31</v>
          </cell>
          <cell r="R112">
            <v>9</v>
          </cell>
          <cell r="S112">
            <v>15</v>
          </cell>
          <cell r="T112">
            <v>24</v>
          </cell>
        </row>
        <row r="113">
          <cell r="A113">
            <v>111</v>
          </cell>
          <cell r="B113" t="str">
            <v>2024311980</v>
          </cell>
          <cell r="C113" t="str">
            <v>韩沛颖</v>
          </cell>
          <cell r="E113" t="str">
            <v>会243</v>
          </cell>
          <cell r="K113">
            <v>70</v>
          </cell>
          <cell r="R113">
            <v>9</v>
          </cell>
          <cell r="S113">
            <v>17</v>
          </cell>
          <cell r="T113">
            <v>26</v>
          </cell>
        </row>
        <row r="114">
          <cell r="B114" t="str">
            <v>2025312280</v>
          </cell>
          <cell r="C114" t="str">
            <v>张雨婷</v>
          </cell>
          <cell r="E114" t="str">
            <v>会251</v>
          </cell>
          <cell r="K114">
            <v>56</v>
          </cell>
          <cell r="R114">
            <v>9</v>
          </cell>
          <cell r="S114">
            <v>20</v>
          </cell>
          <cell r="T114">
            <v>30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L8" sqref="L8"/>
    </sheetView>
  </sheetViews>
  <sheetFormatPr defaultRowHeight="14"/>
  <cols>
    <col min="1" max="1" width="4.5" style="1" bestFit="1" customWidth="1"/>
    <col min="2" max="2" width="7.33203125" style="1" bestFit="1" customWidth="1"/>
    <col min="3" max="3" width="10.6640625" style="1" bestFit="1" customWidth="1"/>
    <col min="4" max="4" width="10.08203125" style="1" customWidth="1"/>
    <col min="5" max="5" width="7.5" style="16" bestFit="1" customWidth="1"/>
    <col min="6" max="7" width="7.33203125" style="1" customWidth="1"/>
    <col min="8" max="8" width="7.9140625" style="16" customWidth="1"/>
    <col min="9" max="10" width="7.1640625" style="17" customWidth="1"/>
    <col min="11" max="16384" width="8.6640625" style="1"/>
  </cols>
  <sheetData>
    <row r="1" spans="1:10" ht="29.25" customHeight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6" t="s">
        <v>8</v>
      </c>
      <c r="J1" s="8"/>
    </row>
    <row r="2" spans="1:10" s="15" customFormat="1">
      <c r="A2" s="12">
        <f>[1]试卷成绩登记!A3</f>
        <v>1</v>
      </c>
      <c r="B2" s="13" t="str">
        <f>[1]试卷成绩登记!E3</f>
        <v>会241</v>
      </c>
      <c r="C2" s="14" t="str">
        <f>[1]试卷成绩登记!B3</f>
        <v>2024311354</v>
      </c>
      <c r="D2" s="14" t="str">
        <f>[1]试卷成绩登记!C3</f>
        <v>徐文姌</v>
      </c>
      <c r="E2" s="9">
        <f>[1]试卷成绩登记!R3</f>
        <v>10</v>
      </c>
      <c r="F2" s="9">
        <f>[1]试卷成绩登记!S3</f>
        <v>18</v>
      </c>
      <c r="G2" s="9">
        <f>[1]试卷成绩登记!T3</f>
        <v>26</v>
      </c>
      <c r="H2" s="9">
        <f>[1]试卷成绩登记!K3</f>
        <v>51</v>
      </c>
      <c r="I2" s="10">
        <f t="shared" ref="I2:I65" si="0">INT(E2+G2+F2+H2*0.4)</f>
        <v>74</v>
      </c>
      <c r="J2" s="11"/>
    </row>
    <row r="3" spans="1:10" s="15" customFormat="1">
      <c r="A3" s="12">
        <f>[1]试卷成绩登记!A4</f>
        <v>2</v>
      </c>
      <c r="B3" s="13" t="str">
        <f>[1]试卷成绩登记!E4</f>
        <v>会241</v>
      </c>
      <c r="C3" s="14" t="str">
        <f>[1]试卷成绩登记!B4</f>
        <v>2024311371</v>
      </c>
      <c r="D3" s="14" t="str">
        <f>[1]试卷成绩登记!C4</f>
        <v>杨鑫竹</v>
      </c>
      <c r="E3" s="9">
        <f>[1]试卷成绩登记!R4</f>
        <v>10</v>
      </c>
      <c r="F3" s="9">
        <f>[1]试卷成绩登记!S4</f>
        <v>17</v>
      </c>
      <c r="G3" s="9">
        <f>[1]试卷成绩登记!T4</f>
        <v>28</v>
      </c>
      <c r="H3" s="9">
        <f>[1]试卷成绩登记!K4</f>
        <v>66</v>
      </c>
      <c r="I3" s="10">
        <f t="shared" si="0"/>
        <v>81</v>
      </c>
      <c r="J3" s="11"/>
    </row>
    <row r="4" spans="1:10" s="15" customFormat="1">
      <c r="A4" s="12">
        <f>[1]试卷成绩登记!A5</f>
        <v>3</v>
      </c>
      <c r="B4" s="13" t="str">
        <f>[1]试卷成绩登记!E5</f>
        <v>会241</v>
      </c>
      <c r="C4" s="14" t="str">
        <f>[1]试卷成绩登记!B5</f>
        <v>2024311439</v>
      </c>
      <c r="D4" s="14" t="str">
        <f>[1]试卷成绩登记!C5</f>
        <v>闫鸣珊</v>
      </c>
      <c r="E4" s="9">
        <f>[1]试卷成绩登记!R5</f>
        <v>10</v>
      </c>
      <c r="F4" s="9">
        <f>[1]试卷成绩登记!S5</f>
        <v>20</v>
      </c>
      <c r="G4" s="9">
        <f>[1]试卷成绩登记!T5</f>
        <v>30</v>
      </c>
      <c r="H4" s="9">
        <f>[1]试卷成绩登记!K5</f>
        <v>74</v>
      </c>
      <c r="I4" s="10">
        <f t="shared" si="0"/>
        <v>89</v>
      </c>
      <c r="J4" s="11"/>
    </row>
    <row r="5" spans="1:10" s="15" customFormat="1">
      <c r="A5" s="12">
        <f>[1]试卷成绩登记!A6</f>
        <v>4</v>
      </c>
      <c r="B5" s="13" t="str">
        <f>[1]试卷成绩登记!E6</f>
        <v>会241</v>
      </c>
      <c r="C5" s="14" t="str">
        <f>[1]试卷成绩登记!B6</f>
        <v>2024311442</v>
      </c>
      <c r="D5" s="14" t="str">
        <f>[1]试卷成绩登记!C6</f>
        <v>王思媛</v>
      </c>
      <c r="E5" s="9">
        <f>[1]试卷成绩登记!R6</f>
        <v>10</v>
      </c>
      <c r="F5" s="9">
        <f>[1]试卷成绩登记!S6</f>
        <v>15</v>
      </c>
      <c r="G5" s="9">
        <f>[1]试卷成绩登记!T6</f>
        <v>22</v>
      </c>
      <c r="H5" s="9">
        <f>[1]试卷成绩登记!K6</f>
        <v>44</v>
      </c>
      <c r="I5" s="10">
        <f t="shared" si="0"/>
        <v>64</v>
      </c>
      <c r="J5" s="11"/>
    </row>
    <row r="6" spans="1:10" s="15" customFormat="1">
      <c r="A6" s="12">
        <f>[1]试卷成绩登记!A7</f>
        <v>5</v>
      </c>
      <c r="B6" s="13" t="str">
        <f>[1]试卷成绩登记!E7</f>
        <v>会241</v>
      </c>
      <c r="C6" s="14" t="str">
        <f>[1]试卷成绩登记!B7</f>
        <v>2024311444</v>
      </c>
      <c r="D6" s="14" t="str">
        <f>[1]试卷成绩登记!C7</f>
        <v>沙佑安</v>
      </c>
      <c r="E6" s="9">
        <f>[1]试卷成绩登记!R7</f>
        <v>10</v>
      </c>
      <c r="F6" s="9">
        <f>[1]试卷成绩登记!S7</f>
        <v>18</v>
      </c>
      <c r="G6" s="9">
        <f>[1]试卷成绩登记!T7</f>
        <v>28</v>
      </c>
      <c r="H6" s="9">
        <f>[1]试卷成绩登记!K7</f>
        <v>51</v>
      </c>
      <c r="I6" s="10">
        <f t="shared" si="0"/>
        <v>76</v>
      </c>
      <c r="J6" s="11"/>
    </row>
    <row r="7" spans="1:10" s="15" customFormat="1">
      <c r="A7" s="12">
        <f>[1]试卷成绩登记!A8</f>
        <v>6</v>
      </c>
      <c r="B7" s="13" t="str">
        <f>[1]试卷成绩登记!E8</f>
        <v>会241</v>
      </c>
      <c r="C7" s="14" t="str">
        <f>[1]试卷成绩登记!B8</f>
        <v>2024311445</v>
      </c>
      <c r="D7" s="14" t="str">
        <f>[1]试卷成绩登记!C8</f>
        <v>崔诗睿</v>
      </c>
      <c r="E7" s="9">
        <f>[1]试卷成绩登记!R8</f>
        <v>9</v>
      </c>
      <c r="F7" s="9">
        <f>[1]试卷成绩登记!S8</f>
        <v>18</v>
      </c>
      <c r="G7" s="9">
        <f>[1]试卷成绩登记!T8</f>
        <v>27</v>
      </c>
      <c r="H7" s="9">
        <f>[1]试卷成绩登记!K8</f>
        <v>45</v>
      </c>
      <c r="I7" s="10">
        <f t="shared" si="0"/>
        <v>72</v>
      </c>
      <c r="J7" s="11"/>
    </row>
    <row r="8" spans="1:10" s="15" customFormat="1">
      <c r="A8" s="12">
        <f>[1]试卷成绩登记!A9</f>
        <v>7</v>
      </c>
      <c r="B8" s="13" t="str">
        <f>[1]试卷成绩登记!E9</f>
        <v>会241</v>
      </c>
      <c r="C8" s="14" t="str">
        <f>[1]试卷成绩登记!B9</f>
        <v>2024311446</v>
      </c>
      <c r="D8" s="14" t="str">
        <f>[1]试卷成绩登记!C9</f>
        <v>朱梓毓</v>
      </c>
      <c r="E8" s="9">
        <f>[1]试卷成绩登记!R9</f>
        <v>10</v>
      </c>
      <c r="F8" s="9">
        <f>[1]试卷成绩登记!S9</f>
        <v>18</v>
      </c>
      <c r="G8" s="9">
        <f>[1]试卷成绩登记!T9</f>
        <v>26</v>
      </c>
      <c r="H8" s="9">
        <f>[1]试卷成绩登记!K9</f>
        <v>51</v>
      </c>
      <c r="I8" s="10">
        <f t="shared" si="0"/>
        <v>74</v>
      </c>
      <c r="J8" s="11"/>
    </row>
    <row r="9" spans="1:10" s="15" customFormat="1">
      <c r="A9" s="12">
        <f>[1]试卷成绩登记!A10</f>
        <v>8</v>
      </c>
      <c r="B9" s="13" t="str">
        <f>[1]试卷成绩登记!E10</f>
        <v>会241</v>
      </c>
      <c r="C9" s="14" t="str">
        <f>[1]试卷成绩登记!B10</f>
        <v>2024311447</v>
      </c>
      <c r="D9" s="14" t="str">
        <f>[1]试卷成绩登记!C10</f>
        <v>王玉姗姗</v>
      </c>
      <c r="E9" s="9">
        <f>[1]试卷成绩登记!R10</f>
        <v>10</v>
      </c>
      <c r="F9" s="9">
        <f>[1]试卷成绩登记!S10</f>
        <v>19</v>
      </c>
      <c r="G9" s="9">
        <f>[1]试卷成绩登记!T10</f>
        <v>28</v>
      </c>
      <c r="H9" s="9">
        <f>[1]试卷成绩登记!K10</f>
        <v>53</v>
      </c>
      <c r="I9" s="10">
        <f t="shared" si="0"/>
        <v>78</v>
      </c>
      <c r="J9" s="11"/>
    </row>
    <row r="10" spans="1:10" s="15" customFormat="1">
      <c r="A10" s="12">
        <f>[1]试卷成绩登记!A11</f>
        <v>9</v>
      </c>
      <c r="B10" s="13" t="str">
        <f>[1]试卷成绩登记!E11</f>
        <v>会241</v>
      </c>
      <c r="C10" s="14" t="str">
        <f>[1]试卷成绩登记!B11</f>
        <v>2024311448</v>
      </c>
      <c r="D10" s="14" t="str">
        <f>[1]试卷成绩登记!C11</f>
        <v>窦爽朗</v>
      </c>
      <c r="E10" s="9">
        <f>[1]试卷成绩登记!R11</f>
        <v>10</v>
      </c>
      <c r="F10" s="9">
        <f>[1]试卷成绩登记!S11</f>
        <v>16</v>
      </c>
      <c r="G10" s="9">
        <f>[1]试卷成绩登记!T11</f>
        <v>21</v>
      </c>
      <c r="H10" s="9">
        <f>[1]试卷成绩登记!K11</f>
        <v>38</v>
      </c>
      <c r="I10" s="10">
        <f t="shared" si="0"/>
        <v>62</v>
      </c>
      <c r="J10" s="11"/>
    </row>
    <row r="11" spans="1:10" s="15" customFormat="1">
      <c r="A11" s="12">
        <f>[1]试卷成绩登记!A12</f>
        <v>10</v>
      </c>
      <c r="B11" s="13" t="str">
        <f>[1]试卷成绩登记!E12</f>
        <v>会241</v>
      </c>
      <c r="C11" s="14" t="str">
        <f>[1]试卷成绩登记!B12</f>
        <v>2024311451</v>
      </c>
      <c r="D11" s="14" t="str">
        <f>[1]试卷成绩登记!C12</f>
        <v>李鹤</v>
      </c>
      <c r="E11" s="9">
        <f>[1]试卷成绩登记!R12</f>
        <v>10</v>
      </c>
      <c r="F11" s="9">
        <f>[1]试卷成绩登记!S12</f>
        <v>15</v>
      </c>
      <c r="G11" s="9">
        <f>[1]试卷成绩登记!T12</f>
        <v>22</v>
      </c>
      <c r="H11" s="9">
        <f>[1]试卷成绩登记!K12</f>
        <v>39</v>
      </c>
      <c r="I11" s="10">
        <f t="shared" si="0"/>
        <v>62</v>
      </c>
      <c r="J11" s="11"/>
    </row>
    <row r="12" spans="1:10" s="15" customFormat="1">
      <c r="A12" s="12">
        <f>[1]试卷成绩登记!A13</f>
        <v>11</v>
      </c>
      <c r="B12" s="13" t="str">
        <f>[1]试卷成绩登记!E13</f>
        <v>会241</v>
      </c>
      <c r="C12" s="14" t="str">
        <f>[1]试卷成绩登记!B13</f>
        <v>2024311452</v>
      </c>
      <c r="D12" s="14" t="str">
        <f>[1]试卷成绩登记!C13</f>
        <v>李欣蕾</v>
      </c>
      <c r="E12" s="9">
        <f>[1]试卷成绩登记!R13</f>
        <v>10</v>
      </c>
      <c r="F12" s="9">
        <f>[1]试卷成绩登记!S13</f>
        <v>20</v>
      </c>
      <c r="G12" s="9">
        <f>[1]试卷成绩登记!T13</f>
        <v>29</v>
      </c>
      <c r="H12" s="9">
        <f>[1]试卷成绩登记!K13</f>
        <v>60</v>
      </c>
      <c r="I12" s="10">
        <f t="shared" si="0"/>
        <v>83</v>
      </c>
      <c r="J12" s="11"/>
    </row>
    <row r="13" spans="1:10" s="15" customFormat="1">
      <c r="A13" s="12">
        <f>[1]试卷成绩登记!A14</f>
        <v>12</v>
      </c>
      <c r="B13" s="13" t="str">
        <f>[1]试卷成绩登记!E14</f>
        <v>会241</v>
      </c>
      <c r="C13" s="14" t="str">
        <f>[1]试卷成绩登记!B14</f>
        <v>2024311453</v>
      </c>
      <c r="D13" s="14" t="str">
        <f>[1]试卷成绩登记!C14</f>
        <v>张骏菲</v>
      </c>
      <c r="E13" s="9">
        <f>[1]试卷成绩登记!R14</f>
        <v>10</v>
      </c>
      <c r="F13" s="9">
        <f>[1]试卷成绩登记!S14</f>
        <v>18</v>
      </c>
      <c r="G13" s="9">
        <f>[1]试卷成绩登记!T14</f>
        <v>27</v>
      </c>
      <c r="H13" s="9">
        <f>[1]试卷成绩登记!K14</f>
        <v>66</v>
      </c>
      <c r="I13" s="10">
        <f t="shared" si="0"/>
        <v>81</v>
      </c>
      <c r="J13" s="11"/>
    </row>
    <row r="14" spans="1:10" s="15" customFormat="1">
      <c r="A14" s="12">
        <f>[1]试卷成绩登记!A15</f>
        <v>13</v>
      </c>
      <c r="B14" s="13" t="str">
        <f>[1]试卷成绩登记!E15</f>
        <v>会241</v>
      </c>
      <c r="C14" s="14">
        <f>[1]试卷成绩登记!B15</f>
        <v>2024311454</v>
      </c>
      <c r="D14" s="14" t="str">
        <f>[1]试卷成绩登记!C15</f>
        <v>刘子嘉</v>
      </c>
      <c r="E14" s="9">
        <f>[1]试卷成绩登记!R15</f>
        <v>10</v>
      </c>
      <c r="F14" s="9">
        <f>[1]试卷成绩登记!S15</f>
        <v>18</v>
      </c>
      <c r="G14" s="9">
        <f>[1]试卷成绩登记!T15</f>
        <v>26</v>
      </c>
      <c r="H14" s="9">
        <f>[1]试卷成绩登记!K15</f>
        <v>51</v>
      </c>
      <c r="I14" s="10">
        <f t="shared" si="0"/>
        <v>74</v>
      </c>
      <c r="J14" s="11"/>
    </row>
    <row r="15" spans="1:10" s="15" customFormat="1">
      <c r="A15" s="12">
        <f>[1]试卷成绩登记!A16</f>
        <v>14</v>
      </c>
      <c r="B15" s="13" t="str">
        <f>[1]试卷成绩登记!E16</f>
        <v>会241</v>
      </c>
      <c r="C15" s="14">
        <f>[1]试卷成绩登记!B16</f>
        <v>2024311456</v>
      </c>
      <c r="D15" s="14" t="str">
        <f>[1]试卷成绩登记!C16</f>
        <v>杨心淇</v>
      </c>
      <c r="E15" s="9">
        <f>[1]试卷成绩登记!R16</f>
        <v>10</v>
      </c>
      <c r="F15" s="9">
        <f>[1]试卷成绩登记!S16</f>
        <v>16</v>
      </c>
      <c r="G15" s="9">
        <f>[1]试卷成绩登记!T16</f>
        <v>24</v>
      </c>
      <c r="H15" s="9">
        <f>[1]试卷成绩登记!K16</f>
        <v>46</v>
      </c>
      <c r="I15" s="10">
        <f t="shared" si="0"/>
        <v>68</v>
      </c>
      <c r="J15" s="11"/>
    </row>
    <row r="16" spans="1:10" s="15" customFormat="1">
      <c r="A16" s="12">
        <f>[1]试卷成绩登记!A17</f>
        <v>15</v>
      </c>
      <c r="B16" s="13" t="str">
        <f>[1]试卷成绩登记!E17</f>
        <v>会241</v>
      </c>
      <c r="C16" s="14" t="str">
        <f>[1]试卷成绩登记!B17</f>
        <v>2024311457</v>
      </c>
      <c r="D16" s="14" t="str">
        <f>[1]试卷成绩登记!C17</f>
        <v>韩筱冉</v>
      </c>
      <c r="E16" s="9">
        <f>[1]试卷成绩登记!R17</f>
        <v>10</v>
      </c>
      <c r="F16" s="9">
        <f>[1]试卷成绩登记!S17</f>
        <v>20</v>
      </c>
      <c r="G16" s="9">
        <f>[1]试卷成绩登记!T17</f>
        <v>30</v>
      </c>
      <c r="H16" s="9">
        <f>[1]试卷成绩登记!K17</f>
        <v>72</v>
      </c>
      <c r="I16" s="10">
        <f t="shared" si="0"/>
        <v>88</v>
      </c>
      <c r="J16" s="11"/>
    </row>
    <row r="17" spans="1:10" s="15" customFormat="1">
      <c r="A17" s="12">
        <f>[1]试卷成绩登记!A18</f>
        <v>16</v>
      </c>
      <c r="B17" s="13" t="str">
        <f>[1]试卷成绩登记!E18</f>
        <v>会241</v>
      </c>
      <c r="C17" s="14" t="str">
        <f>[1]试卷成绩登记!B18</f>
        <v>2024311458</v>
      </c>
      <c r="D17" s="14" t="str">
        <f>[1]试卷成绩登记!C18</f>
        <v>南阳</v>
      </c>
      <c r="E17" s="9">
        <f>[1]试卷成绩登记!R18</f>
        <v>10</v>
      </c>
      <c r="F17" s="9">
        <f>[1]试卷成绩登记!S18</f>
        <v>15</v>
      </c>
      <c r="G17" s="9">
        <f>[1]试卷成绩登记!T18</f>
        <v>22</v>
      </c>
      <c r="H17" s="9">
        <f>[1]试卷成绩登记!K18</f>
        <v>44</v>
      </c>
      <c r="I17" s="10">
        <f t="shared" si="0"/>
        <v>64</v>
      </c>
      <c r="J17" s="11"/>
    </row>
    <row r="18" spans="1:10" s="15" customFormat="1">
      <c r="A18" s="12">
        <f>[1]试卷成绩登记!A19</f>
        <v>17</v>
      </c>
      <c r="B18" s="13" t="str">
        <f>[1]试卷成绩登记!E19</f>
        <v>会241</v>
      </c>
      <c r="C18" s="14" t="str">
        <f>[1]试卷成绩登记!B19</f>
        <v>2024311459</v>
      </c>
      <c r="D18" s="14" t="str">
        <f>[1]试卷成绩登记!C19</f>
        <v>王玥瑶</v>
      </c>
      <c r="E18" s="9">
        <f>[1]试卷成绩登记!R19</f>
        <v>10</v>
      </c>
      <c r="F18" s="9">
        <f>[1]试卷成绩登记!S19</f>
        <v>18</v>
      </c>
      <c r="G18" s="9">
        <f>[1]试卷成绩登记!T19</f>
        <v>26</v>
      </c>
      <c r="H18" s="9">
        <f>[1]试卷成绩登记!K19</f>
        <v>41</v>
      </c>
      <c r="I18" s="10">
        <f t="shared" si="0"/>
        <v>70</v>
      </c>
      <c r="J18" s="11"/>
    </row>
    <row r="19" spans="1:10" s="15" customFormat="1">
      <c r="A19" s="12">
        <f>[1]试卷成绩登记!A20</f>
        <v>18</v>
      </c>
      <c r="B19" s="13" t="str">
        <f>[1]试卷成绩登记!E20</f>
        <v>会241</v>
      </c>
      <c r="C19" s="14">
        <f>[1]试卷成绩登记!B20</f>
        <v>2024311460</v>
      </c>
      <c r="D19" s="14" t="str">
        <f>[1]试卷成绩登记!C20</f>
        <v>杨雨菲</v>
      </c>
      <c r="E19" s="9">
        <f>[1]试卷成绩登记!R20</f>
        <v>9</v>
      </c>
      <c r="F19" s="9">
        <f>[1]试卷成绩登记!S20</f>
        <v>18</v>
      </c>
      <c r="G19" s="9">
        <f>[1]试卷成绩登记!T20</f>
        <v>26</v>
      </c>
      <c r="H19" s="9">
        <f>[1]试卷成绩登记!K20</f>
        <v>51</v>
      </c>
      <c r="I19" s="10">
        <f t="shared" si="0"/>
        <v>73</v>
      </c>
      <c r="J19" s="11"/>
    </row>
    <row r="20" spans="1:10" s="15" customFormat="1">
      <c r="A20" s="12">
        <f>[1]试卷成绩登记!A21</f>
        <v>19</v>
      </c>
      <c r="B20" s="13" t="str">
        <f>[1]试卷成绩登记!E21</f>
        <v>会241</v>
      </c>
      <c r="C20" s="14" t="str">
        <f>[1]试卷成绩登记!B21</f>
        <v>2024311461</v>
      </c>
      <c r="D20" s="14" t="str">
        <f>[1]试卷成绩登记!C21</f>
        <v>李泽君</v>
      </c>
      <c r="E20" s="9">
        <f>[1]试卷成绩登记!R21</f>
        <v>10</v>
      </c>
      <c r="F20" s="9">
        <f>[1]试卷成绩登记!S21</f>
        <v>17</v>
      </c>
      <c r="G20" s="9">
        <f>[1]试卷成绩登记!T21</f>
        <v>30</v>
      </c>
      <c r="H20" s="9">
        <f>[1]试卷成绩登记!K21</f>
        <v>59</v>
      </c>
      <c r="I20" s="10">
        <f t="shared" si="0"/>
        <v>80</v>
      </c>
      <c r="J20" s="11"/>
    </row>
    <row r="21" spans="1:10" s="15" customFormat="1">
      <c r="A21" s="12">
        <f>[1]试卷成绩登记!A22</f>
        <v>20</v>
      </c>
      <c r="B21" s="13" t="str">
        <f>[1]试卷成绩登记!E22</f>
        <v>会241</v>
      </c>
      <c r="C21" s="14" t="str">
        <f>[1]试卷成绩登记!B22</f>
        <v>2024311463</v>
      </c>
      <c r="D21" s="14" t="str">
        <f>[1]试卷成绩登记!C22</f>
        <v>安元惠</v>
      </c>
      <c r="E21" s="9">
        <f>[1]试卷成绩登记!R22</f>
        <v>9</v>
      </c>
      <c r="F21" s="9">
        <f>[1]试卷成绩登记!S22</f>
        <v>17</v>
      </c>
      <c r="G21" s="9">
        <f>[1]试卷成绩登记!T22</f>
        <v>22</v>
      </c>
      <c r="H21" s="9">
        <f>[1]试卷成绩登记!K22</f>
        <v>34</v>
      </c>
      <c r="I21" s="10">
        <f t="shared" si="0"/>
        <v>61</v>
      </c>
      <c r="J21" s="11"/>
    </row>
    <row r="22" spans="1:10" s="15" customFormat="1">
      <c r="A22" s="12">
        <f>[1]试卷成绩登记!A23</f>
        <v>21</v>
      </c>
      <c r="B22" s="13" t="str">
        <f>[1]试卷成绩登记!E23</f>
        <v>会241</v>
      </c>
      <c r="C22" s="14" t="str">
        <f>[1]试卷成绩登记!B23</f>
        <v>2024311465</v>
      </c>
      <c r="D22" s="14" t="str">
        <f>[1]试卷成绩登记!C23</f>
        <v>田兆博</v>
      </c>
      <c r="E22" s="9">
        <f>[1]试卷成绩登记!R23</f>
        <v>9</v>
      </c>
      <c r="F22" s="9">
        <f>[1]试卷成绩登记!S23</f>
        <v>16</v>
      </c>
      <c r="G22" s="9">
        <f>[1]试卷成绩登记!T23</f>
        <v>24</v>
      </c>
      <c r="H22" s="9">
        <f>[1]试卷成绩登记!K23</f>
        <v>49</v>
      </c>
      <c r="I22" s="10">
        <f t="shared" si="0"/>
        <v>68</v>
      </c>
      <c r="J22" s="11"/>
    </row>
    <row r="23" spans="1:10" s="15" customFormat="1">
      <c r="A23" s="12">
        <f>[1]试卷成绩登记!A24</f>
        <v>22</v>
      </c>
      <c r="B23" s="13" t="str">
        <f>[1]试卷成绩登记!E24</f>
        <v>会241</v>
      </c>
      <c r="C23" s="14">
        <f>[1]试卷成绩登记!B24</f>
        <v>2024311466</v>
      </c>
      <c r="D23" s="14" t="str">
        <f>[1]试卷成绩登记!C24</f>
        <v>张亦涵</v>
      </c>
      <c r="E23" s="9">
        <f>[1]试卷成绩登记!R24</f>
        <v>10</v>
      </c>
      <c r="F23" s="9">
        <f>[1]试卷成绩登记!S24</f>
        <v>17</v>
      </c>
      <c r="G23" s="9">
        <f>[1]试卷成绩登记!T24</f>
        <v>27</v>
      </c>
      <c r="H23" s="9">
        <f>[1]试卷成绩登记!K24</f>
        <v>55</v>
      </c>
      <c r="I23" s="10">
        <f t="shared" si="0"/>
        <v>76</v>
      </c>
      <c r="J23" s="11"/>
    </row>
    <row r="24" spans="1:10" s="15" customFormat="1">
      <c r="A24" s="12">
        <f>[1]试卷成绩登记!A25</f>
        <v>23</v>
      </c>
      <c r="B24" s="13" t="str">
        <f>[1]试卷成绩登记!E25</f>
        <v>会241</v>
      </c>
      <c r="C24" s="14" t="str">
        <f>[1]试卷成绩登记!B25</f>
        <v>2024311467</v>
      </c>
      <c r="D24" s="14" t="str">
        <f>[1]试卷成绩登记!C25</f>
        <v>佟伯炀</v>
      </c>
      <c r="E24" s="9">
        <f>[1]试卷成绩登记!R25</f>
        <v>10</v>
      </c>
      <c r="F24" s="9">
        <f>[1]试卷成绩登记!S25</f>
        <v>14</v>
      </c>
      <c r="G24" s="9">
        <f>[1]试卷成绩登记!T25</f>
        <v>21</v>
      </c>
      <c r="H24" s="9">
        <f>[1]试卷成绩登记!K25</f>
        <v>43</v>
      </c>
      <c r="I24" s="10">
        <f t="shared" si="0"/>
        <v>62</v>
      </c>
      <c r="J24" s="11"/>
    </row>
    <row r="25" spans="1:10" s="15" customFormat="1">
      <c r="A25" s="12">
        <f>[1]试卷成绩登记!A26</f>
        <v>24</v>
      </c>
      <c r="B25" s="13" t="str">
        <f>[1]试卷成绩登记!E26</f>
        <v>会241</v>
      </c>
      <c r="C25" s="14" t="str">
        <f>[1]试卷成绩登记!B26</f>
        <v>2024311468</v>
      </c>
      <c r="D25" s="14" t="str">
        <f>[1]试卷成绩登记!C26</f>
        <v>陈天悦</v>
      </c>
      <c r="E25" s="9">
        <f>[1]试卷成绩登记!R26</f>
        <v>9</v>
      </c>
      <c r="F25" s="9">
        <f>[1]试卷成绩登记!S26</f>
        <v>15</v>
      </c>
      <c r="G25" s="9">
        <f>[1]试卷成绩登记!T26</f>
        <v>23</v>
      </c>
      <c r="H25" s="9">
        <f>[1]试卷成绩登记!K26</f>
        <v>43</v>
      </c>
      <c r="I25" s="10">
        <f t="shared" si="0"/>
        <v>64</v>
      </c>
      <c r="J25" s="11"/>
    </row>
    <row r="26" spans="1:10" s="15" customFormat="1">
      <c r="A26" s="12">
        <f>[1]试卷成绩登记!A27</f>
        <v>25</v>
      </c>
      <c r="B26" s="13" t="str">
        <f>[1]试卷成绩登记!E27</f>
        <v>会241</v>
      </c>
      <c r="C26" s="14" t="str">
        <f>[1]试卷成绩登记!B27</f>
        <v>2024311469</v>
      </c>
      <c r="D26" s="14" t="str">
        <f>[1]试卷成绩登记!C27</f>
        <v>孙可欣</v>
      </c>
      <c r="E26" s="9">
        <f>[1]试卷成绩登记!R27</f>
        <v>10</v>
      </c>
      <c r="F26" s="9">
        <f>[1]试卷成绩登记!S27</f>
        <v>18</v>
      </c>
      <c r="G26" s="9">
        <f>[1]试卷成绩登记!T27</f>
        <v>28</v>
      </c>
      <c r="H26" s="9">
        <f>[1]试卷成绩登记!K27</f>
        <v>53</v>
      </c>
      <c r="I26" s="10">
        <f t="shared" si="0"/>
        <v>77</v>
      </c>
      <c r="J26" s="11"/>
    </row>
    <row r="27" spans="1:10" s="15" customFormat="1">
      <c r="A27" s="12">
        <f>[1]试卷成绩登记!A28</f>
        <v>26</v>
      </c>
      <c r="B27" s="13" t="str">
        <f>[1]试卷成绩登记!E28</f>
        <v>会241</v>
      </c>
      <c r="C27" s="14" t="str">
        <f>[1]试卷成绩登记!B28</f>
        <v>2024311471</v>
      </c>
      <c r="D27" s="14" t="str">
        <f>[1]试卷成绩登记!C28</f>
        <v>尹姝仝</v>
      </c>
      <c r="E27" s="9">
        <f>[1]试卷成绩登记!R28</f>
        <v>10</v>
      </c>
      <c r="F27" s="9">
        <f>[1]试卷成绩登记!S28</f>
        <v>17</v>
      </c>
      <c r="G27" s="9">
        <f>[1]试卷成绩登记!T28</f>
        <v>23</v>
      </c>
      <c r="H27" s="9">
        <f>[1]试卷成绩登记!K28</f>
        <v>52</v>
      </c>
      <c r="I27" s="10">
        <f t="shared" si="0"/>
        <v>70</v>
      </c>
      <c r="J27" s="11"/>
    </row>
    <row r="28" spans="1:10" s="15" customFormat="1">
      <c r="A28" s="12">
        <f>[1]试卷成绩登记!A29</f>
        <v>27</v>
      </c>
      <c r="B28" s="13" t="str">
        <f>[1]试卷成绩登记!E29</f>
        <v>会241</v>
      </c>
      <c r="C28" s="14" t="str">
        <f>[1]试卷成绩登记!B29</f>
        <v>2024311472</v>
      </c>
      <c r="D28" s="14" t="str">
        <f>[1]试卷成绩登记!C29</f>
        <v>冯楚楠</v>
      </c>
      <c r="E28" s="9">
        <f>[1]试卷成绩登记!R29</f>
        <v>10</v>
      </c>
      <c r="F28" s="9">
        <f>[1]试卷成绩登记!S29</f>
        <v>20</v>
      </c>
      <c r="G28" s="9">
        <f>[1]试卷成绩登记!T29</f>
        <v>30</v>
      </c>
      <c r="H28" s="9">
        <f>[1]试卷成绩登记!K29</f>
        <v>77</v>
      </c>
      <c r="I28" s="10">
        <f t="shared" si="0"/>
        <v>90</v>
      </c>
      <c r="J28" s="11"/>
    </row>
    <row r="29" spans="1:10" s="15" customFormat="1">
      <c r="A29" s="12">
        <f>[1]试卷成绩登记!A30</f>
        <v>28</v>
      </c>
      <c r="B29" s="13" t="str">
        <f>[1]试卷成绩登记!E30</f>
        <v>会241</v>
      </c>
      <c r="C29" s="14" t="str">
        <f>[1]试卷成绩登记!B30</f>
        <v>2024311577</v>
      </c>
      <c r="D29" s="14" t="str">
        <f>[1]试卷成绩登记!C30</f>
        <v>周慧宇</v>
      </c>
      <c r="E29" s="9">
        <f>[1]试卷成绩登记!R30</f>
        <v>10</v>
      </c>
      <c r="F29" s="9">
        <f>[1]试卷成绩登记!S30</f>
        <v>20</v>
      </c>
      <c r="G29" s="9">
        <f>[1]试卷成绩登记!T30</f>
        <v>30</v>
      </c>
      <c r="H29" s="9">
        <f>[1]试卷成绩登记!K30</f>
        <v>74</v>
      </c>
      <c r="I29" s="10">
        <f t="shared" si="0"/>
        <v>89</v>
      </c>
      <c r="J29" s="11"/>
    </row>
    <row r="30" spans="1:10" s="15" customFormat="1">
      <c r="A30" s="12">
        <f>[1]试卷成绩登记!A31</f>
        <v>29</v>
      </c>
      <c r="B30" s="13" t="str">
        <f>[1]试卷成绩登记!E31</f>
        <v>会241</v>
      </c>
      <c r="C30" s="14" t="str">
        <f>[1]试卷成绩登记!B31</f>
        <v>2024311579</v>
      </c>
      <c r="D30" s="14" t="str">
        <f>[1]试卷成绩登记!C31</f>
        <v>黄灿翔</v>
      </c>
      <c r="E30" s="9">
        <f>[1]试卷成绩登记!R31</f>
        <v>10</v>
      </c>
      <c r="F30" s="9">
        <f>[1]试卷成绩登记!S31</f>
        <v>20</v>
      </c>
      <c r="G30" s="9">
        <f>[1]试卷成绩登记!T31</f>
        <v>30</v>
      </c>
      <c r="H30" s="9">
        <f>[1]试卷成绩登记!K31</f>
        <v>54</v>
      </c>
      <c r="I30" s="10">
        <f t="shared" si="0"/>
        <v>81</v>
      </c>
      <c r="J30" s="11"/>
    </row>
    <row r="31" spans="1:10" s="15" customFormat="1">
      <c r="A31" s="12">
        <f>[1]试卷成绩登记!A32</f>
        <v>30</v>
      </c>
      <c r="B31" s="13" t="str">
        <f>[1]试卷成绩登记!E32</f>
        <v>会241</v>
      </c>
      <c r="C31" s="14" t="str">
        <f>[1]试卷成绩登记!B32</f>
        <v>2024311613</v>
      </c>
      <c r="D31" s="14" t="str">
        <f>[1]试卷成绩登记!C32</f>
        <v>赵欣然</v>
      </c>
      <c r="E31" s="9">
        <f>[1]试卷成绩登记!R32</f>
        <v>10</v>
      </c>
      <c r="F31" s="9">
        <f>[1]试卷成绩登记!S32</f>
        <v>20</v>
      </c>
      <c r="G31" s="9">
        <f>[1]试卷成绩登记!T32</f>
        <v>30</v>
      </c>
      <c r="H31" s="9">
        <f>[1]试卷成绩登记!K32</f>
        <v>76</v>
      </c>
      <c r="I31" s="10">
        <f t="shared" si="0"/>
        <v>90</v>
      </c>
      <c r="J31" s="11"/>
    </row>
    <row r="32" spans="1:10" s="15" customFormat="1">
      <c r="A32" s="12">
        <f>[1]试卷成绩登记!A33</f>
        <v>31</v>
      </c>
      <c r="B32" s="13" t="str">
        <f>[1]试卷成绩登记!E33</f>
        <v>会241</v>
      </c>
      <c r="C32" s="14">
        <f>[1]试卷成绩登记!B33</f>
        <v>2024311632</v>
      </c>
      <c r="D32" s="14" t="str">
        <f>[1]试卷成绩登记!C33</f>
        <v>赵艺萌</v>
      </c>
      <c r="E32" s="9">
        <f>[1]试卷成绩登记!R33</f>
        <v>10</v>
      </c>
      <c r="F32" s="9">
        <f>[1]试卷成绩登记!S33</f>
        <v>19</v>
      </c>
      <c r="G32" s="9">
        <f>[1]试卷成绩登记!T33</f>
        <v>30</v>
      </c>
      <c r="H32" s="9">
        <f>[1]试卷成绩登记!K33</f>
        <v>57</v>
      </c>
      <c r="I32" s="10">
        <f t="shared" si="0"/>
        <v>81</v>
      </c>
      <c r="J32" s="11"/>
    </row>
    <row r="33" spans="1:10" s="15" customFormat="1">
      <c r="A33" s="12">
        <f>[1]试卷成绩登记!A34</f>
        <v>32</v>
      </c>
      <c r="B33" s="13" t="str">
        <f>[1]试卷成绩登记!E34</f>
        <v>会241</v>
      </c>
      <c r="C33" s="14">
        <f>[1]试卷成绩登记!B34</f>
        <v>2024311748</v>
      </c>
      <c r="D33" s="14" t="str">
        <f>[1]试卷成绩登记!C34</f>
        <v>毛若冰</v>
      </c>
      <c r="E33" s="9">
        <f>[1]试卷成绩登记!R34</f>
        <v>10</v>
      </c>
      <c r="F33" s="9">
        <f>[1]试卷成绩登记!S34</f>
        <v>14</v>
      </c>
      <c r="G33" s="9">
        <f>[1]试卷成绩登记!T34</f>
        <v>20</v>
      </c>
      <c r="H33" s="9">
        <f>[1]试卷成绩登记!K34</f>
        <v>47</v>
      </c>
      <c r="I33" s="10">
        <f t="shared" si="0"/>
        <v>62</v>
      </c>
      <c r="J33" s="11"/>
    </row>
    <row r="34" spans="1:10" s="15" customFormat="1">
      <c r="A34" s="12">
        <f>[1]试卷成绩登记!A35</f>
        <v>33</v>
      </c>
      <c r="B34" s="13" t="str">
        <f>[1]试卷成绩登记!E35</f>
        <v>会241</v>
      </c>
      <c r="C34" s="14" t="str">
        <f>[1]试卷成绩登记!B35</f>
        <v>2024311795</v>
      </c>
      <c r="D34" s="14" t="str">
        <f>[1]试卷成绩登记!C35</f>
        <v>魏宇萱</v>
      </c>
      <c r="E34" s="9">
        <f>[1]试卷成绩登记!R35</f>
        <v>10</v>
      </c>
      <c r="F34" s="9">
        <f>[1]试卷成绩登记!S35</f>
        <v>18</v>
      </c>
      <c r="G34" s="9">
        <f>[1]试卷成绩登记!T35</f>
        <v>29</v>
      </c>
      <c r="H34" s="9">
        <f>[1]试卷成绩登记!K35</f>
        <v>68</v>
      </c>
      <c r="I34" s="10">
        <f t="shared" si="0"/>
        <v>84</v>
      </c>
      <c r="J34" s="11"/>
    </row>
    <row r="35" spans="1:10" s="15" customFormat="1">
      <c r="A35" s="12">
        <f>[1]试卷成绩登记!A36</f>
        <v>34</v>
      </c>
      <c r="B35" s="13" t="str">
        <f>[1]试卷成绩登记!E36</f>
        <v>会241</v>
      </c>
      <c r="C35" s="14" t="str">
        <f>[1]试卷成绩登记!B36</f>
        <v>2024311831</v>
      </c>
      <c r="D35" s="14" t="str">
        <f>[1]试卷成绩登记!C36</f>
        <v>王思彤</v>
      </c>
      <c r="E35" s="9">
        <f>[1]试卷成绩登记!R36</f>
        <v>10</v>
      </c>
      <c r="F35" s="9">
        <f>[1]试卷成绩登记!S36</f>
        <v>20</v>
      </c>
      <c r="G35" s="9">
        <f>[1]试卷成绩登记!T36</f>
        <v>30</v>
      </c>
      <c r="H35" s="9">
        <f>[1]试卷成绩登记!K36</f>
        <v>67</v>
      </c>
      <c r="I35" s="10">
        <f t="shared" si="0"/>
        <v>86</v>
      </c>
      <c r="J35" s="11"/>
    </row>
    <row r="36" spans="1:10" s="15" customFormat="1">
      <c r="A36" s="12">
        <f>[1]试卷成绩登记!A37</f>
        <v>35</v>
      </c>
      <c r="B36" s="13" t="str">
        <f>[1]试卷成绩登记!E37</f>
        <v>会241</v>
      </c>
      <c r="C36" s="14" t="str">
        <f>[1]试卷成绩登记!B37</f>
        <v>2024311840</v>
      </c>
      <c r="D36" s="14" t="str">
        <f>[1]试卷成绩登记!C37</f>
        <v>张曾岩</v>
      </c>
      <c r="E36" s="9">
        <f>[1]试卷成绩登记!R37</f>
        <v>8</v>
      </c>
      <c r="F36" s="9">
        <f>[1]试卷成绩登记!S37</f>
        <v>20</v>
      </c>
      <c r="G36" s="9">
        <f>[1]试卷成绩登记!T37</f>
        <v>27</v>
      </c>
      <c r="H36" s="9">
        <f>[1]试卷成绩登记!K37</f>
        <v>64</v>
      </c>
      <c r="I36" s="10">
        <f t="shared" si="0"/>
        <v>80</v>
      </c>
      <c r="J36" s="11"/>
    </row>
    <row r="37" spans="1:10" s="15" customFormat="1">
      <c r="A37" s="12">
        <f>[1]试卷成绩登记!A38</f>
        <v>36</v>
      </c>
      <c r="B37" s="13" t="str">
        <f>[1]试卷成绩登记!E38</f>
        <v>会242</v>
      </c>
      <c r="C37" s="14" t="str">
        <f>[1]试卷成绩登记!B38</f>
        <v>2024311388</v>
      </c>
      <c r="D37" s="14" t="str">
        <f>[1]试卷成绩登记!C38</f>
        <v>管礼蕾</v>
      </c>
      <c r="E37" s="9">
        <f>[1]试卷成绩登记!R38</f>
        <v>10</v>
      </c>
      <c r="F37" s="9">
        <f>[1]试卷成绩登记!S38</f>
        <v>20</v>
      </c>
      <c r="G37" s="9">
        <f>[1]试卷成绩登记!T38</f>
        <v>30</v>
      </c>
      <c r="H37" s="9">
        <f>[1]试卷成绩登记!K38</f>
        <v>69</v>
      </c>
      <c r="I37" s="10">
        <f t="shared" si="0"/>
        <v>87</v>
      </c>
      <c r="J37" s="11"/>
    </row>
    <row r="38" spans="1:10" s="15" customFormat="1">
      <c r="A38" s="12">
        <f>[1]试卷成绩登记!A39</f>
        <v>37</v>
      </c>
      <c r="B38" s="13" t="str">
        <f>[1]试卷成绩登记!E39</f>
        <v>会242</v>
      </c>
      <c r="C38" s="14" t="str">
        <f>[1]试卷成绩登记!B39</f>
        <v>2024311396</v>
      </c>
      <c r="D38" s="14" t="str">
        <f>[1]试卷成绩登记!C39</f>
        <v>孟凌昔</v>
      </c>
      <c r="E38" s="9">
        <f>[1]试卷成绩登记!R39</f>
        <v>8</v>
      </c>
      <c r="F38" s="9">
        <f>[1]试卷成绩登记!S39</f>
        <v>20</v>
      </c>
      <c r="G38" s="9">
        <f>[1]试卷成绩登记!T39</f>
        <v>30</v>
      </c>
      <c r="H38" s="9">
        <f>[1]试卷成绩登记!K39</f>
        <v>68</v>
      </c>
      <c r="I38" s="10">
        <f t="shared" si="0"/>
        <v>85</v>
      </c>
      <c r="J38" s="11"/>
    </row>
    <row r="39" spans="1:10" s="15" customFormat="1">
      <c r="A39" s="12">
        <f>[1]试卷成绩登记!A40</f>
        <v>38</v>
      </c>
      <c r="B39" s="13" t="str">
        <f>[1]试卷成绩登记!E40</f>
        <v>会242</v>
      </c>
      <c r="C39" s="14" t="str">
        <f>[1]试卷成绩登记!B40</f>
        <v>2024311473</v>
      </c>
      <c r="D39" s="14" t="str">
        <f>[1]试卷成绩登记!C40</f>
        <v>张事成</v>
      </c>
      <c r="E39" s="9">
        <f>[1]试卷成绩登记!R40</f>
        <v>10</v>
      </c>
      <c r="F39" s="9">
        <f>[1]试卷成绩登记!S40</f>
        <v>16</v>
      </c>
      <c r="G39" s="9">
        <f>[1]试卷成绩登记!T40</f>
        <v>22</v>
      </c>
      <c r="H39" s="9">
        <f>[1]试卷成绩登记!K40</f>
        <v>36</v>
      </c>
      <c r="I39" s="10">
        <f t="shared" si="0"/>
        <v>62</v>
      </c>
      <c r="J39" s="11"/>
    </row>
    <row r="40" spans="1:10" s="15" customFormat="1">
      <c r="A40" s="12">
        <f>[1]试卷成绩登记!A41</f>
        <v>39</v>
      </c>
      <c r="B40" s="13" t="str">
        <f>[1]试卷成绩登记!E42</f>
        <v>会242</v>
      </c>
      <c r="C40" s="14" t="str">
        <f>[1]试卷成绩登记!B42</f>
        <v>2024311475</v>
      </c>
      <c r="D40" s="14" t="str">
        <f>[1]试卷成绩登记!C42</f>
        <v>王鑫琦</v>
      </c>
      <c r="E40" s="9">
        <f>[1]试卷成绩登记!R42</f>
        <v>9</v>
      </c>
      <c r="F40" s="9">
        <f>[1]试卷成绩登记!S42</f>
        <v>18</v>
      </c>
      <c r="G40" s="9">
        <f>[1]试卷成绩登记!T42</f>
        <v>25</v>
      </c>
      <c r="H40" s="9">
        <f>[1]试卷成绩登记!K42</f>
        <v>51</v>
      </c>
      <c r="I40" s="10">
        <f t="shared" si="0"/>
        <v>72</v>
      </c>
      <c r="J40" s="11"/>
    </row>
    <row r="41" spans="1:10" s="15" customFormat="1">
      <c r="A41" s="12">
        <f>[1]试卷成绩登记!A42</f>
        <v>40</v>
      </c>
      <c r="B41" s="13" t="str">
        <f>[1]试卷成绩登记!E43</f>
        <v>会242</v>
      </c>
      <c r="C41" s="14" t="str">
        <f>[1]试卷成绩登记!B43</f>
        <v>2024311476</v>
      </c>
      <c r="D41" s="14" t="str">
        <f>[1]试卷成绩登记!C43</f>
        <v>张仪诺</v>
      </c>
      <c r="E41" s="9">
        <f>[1]试卷成绩登记!R43</f>
        <v>10</v>
      </c>
      <c r="F41" s="9">
        <f>[1]试卷成绩登记!S43</f>
        <v>20</v>
      </c>
      <c r="G41" s="9">
        <f>[1]试卷成绩登记!T43</f>
        <v>29</v>
      </c>
      <c r="H41" s="9">
        <f>[1]试卷成绩登记!K43</f>
        <v>53</v>
      </c>
      <c r="I41" s="10">
        <f t="shared" si="0"/>
        <v>80</v>
      </c>
      <c r="J41" s="11"/>
    </row>
    <row r="42" spans="1:10" s="15" customFormat="1">
      <c r="A42" s="12">
        <f>[1]试卷成绩登记!A43</f>
        <v>41</v>
      </c>
      <c r="B42" s="13" t="str">
        <f>[1]试卷成绩登记!E44</f>
        <v>会242</v>
      </c>
      <c r="C42" s="14" t="str">
        <f>[1]试卷成绩登记!B44</f>
        <v>2024311477</v>
      </c>
      <c r="D42" s="14" t="str">
        <f>[1]试卷成绩登记!C44</f>
        <v>陈鑫怡</v>
      </c>
      <c r="E42" s="9">
        <f>[1]试卷成绩登记!R44</f>
        <v>10</v>
      </c>
      <c r="F42" s="9">
        <f>[1]试卷成绩登记!S44</f>
        <v>20</v>
      </c>
      <c r="G42" s="9">
        <f>[1]试卷成绩登记!T44</f>
        <v>30</v>
      </c>
      <c r="H42" s="9">
        <f>[1]试卷成绩登记!K44</f>
        <v>77</v>
      </c>
      <c r="I42" s="10">
        <f t="shared" si="0"/>
        <v>90</v>
      </c>
      <c r="J42" s="11"/>
    </row>
    <row r="43" spans="1:10" s="15" customFormat="1">
      <c r="A43" s="12">
        <f>[1]试卷成绩登记!A44</f>
        <v>42</v>
      </c>
      <c r="B43" s="13" t="str">
        <f>[1]试卷成绩登记!E45</f>
        <v>会242</v>
      </c>
      <c r="C43" s="14" t="str">
        <f>[1]试卷成绩登记!B45</f>
        <v>2024311478</v>
      </c>
      <c r="D43" s="14" t="str">
        <f>[1]试卷成绩登记!C45</f>
        <v>张金玉</v>
      </c>
      <c r="E43" s="9">
        <f>[1]试卷成绩登记!R45</f>
        <v>10</v>
      </c>
      <c r="F43" s="9">
        <f>[1]试卷成绩登记!S45</f>
        <v>20</v>
      </c>
      <c r="G43" s="9">
        <f>[1]试卷成绩登记!T45</f>
        <v>30</v>
      </c>
      <c r="H43" s="9">
        <f>[1]试卷成绩登记!K45</f>
        <v>83</v>
      </c>
      <c r="I43" s="10">
        <f t="shared" si="0"/>
        <v>93</v>
      </c>
      <c r="J43" s="11"/>
    </row>
    <row r="44" spans="1:10" s="15" customFormat="1">
      <c r="A44" s="12">
        <f>[1]试卷成绩登记!A45</f>
        <v>43</v>
      </c>
      <c r="B44" s="13" t="str">
        <f>[1]试卷成绩登记!E46</f>
        <v>会242</v>
      </c>
      <c r="C44" s="14" t="str">
        <f>[1]试卷成绩登记!B46</f>
        <v>2024311479</v>
      </c>
      <c r="D44" s="14" t="str">
        <f>[1]试卷成绩登记!C46</f>
        <v>董心怡</v>
      </c>
      <c r="E44" s="9">
        <f>[1]试卷成绩登记!R46</f>
        <v>10</v>
      </c>
      <c r="F44" s="9">
        <f>[1]试卷成绩登记!S46</f>
        <v>20</v>
      </c>
      <c r="G44" s="9">
        <f>[1]试卷成绩登记!T46</f>
        <v>30</v>
      </c>
      <c r="H44" s="9">
        <f>[1]试卷成绩登记!K46</f>
        <v>71</v>
      </c>
      <c r="I44" s="10">
        <f t="shared" si="0"/>
        <v>88</v>
      </c>
      <c r="J44" s="11"/>
    </row>
    <row r="45" spans="1:10" s="15" customFormat="1">
      <c r="A45" s="12">
        <f>[1]试卷成绩登记!A46</f>
        <v>44</v>
      </c>
      <c r="B45" s="13" t="str">
        <f>[1]试卷成绩登记!E47</f>
        <v>会242</v>
      </c>
      <c r="C45" s="14" t="str">
        <f>[1]试卷成绩登记!B47</f>
        <v>2024311480</v>
      </c>
      <c r="D45" s="14" t="str">
        <f>[1]试卷成绩登记!C47</f>
        <v>柯润杰</v>
      </c>
      <c r="E45" s="9">
        <f>[1]试卷成绩登记!R47</f>
        <v>10</v>
      </c>
      <c r="F45" s="9">
        <f>[1]试卷成绩登记!S47</f>
        <v>15</v>
      </c>
      <c r="G45" s="9">
        <f>[1]试卷成绩登记!T47</f>
        <v>20</v>
      </c>
      <c r="H45" s="9">
        <f>[1]试卷成绩登记!K47</f>
        <v>41</v>
      </c>
      <c r="I45" s="10">
        <f t="shared" si="0"/>
        <v>61</v>
      </c>
      <c r="J45" s="11"/>
    </row>
    <row r="46" spans="1:10" s="15" customFormat="1">
      <c r="A46" s="12">
        <f>[1]试卷成绩登记!A47</f>
        <v>45</v>
      </c>
      <c r="B46" s="13" t="str">
        <f>[1]试卷成绩登记!E48</f>
        <v>会242</v>
      </c>
      <c r="C46" s="14" t="str">
        <f>[1]试卷成绩登记!B48</f>
        <v>2024311481</v>
      </c>
      <c r="D46" s="14" t="str">
        <f>[1]试卷成绩登记!C48</f>
        <v>赫敬宜</v>
      </c>
      <c r="E46" s="9">
        <f>[1]试卷成绩登记!R48</f>
        <v>10</v>
      </c>
      <c r="F46" s="9">
        <f>[1]试卷成绩登记!S48</f>
        <v>20</v>
      </c>
      <c r="G46" s="9">
        <f>[1]试卷成绩登记!T48</f>
        <v>30</v>
      </c>
      <c r="H46" s="9">
        <f>[1]试卷成绩登记!K48</f>
        <v>79</v>
      </c>
      <c r="I46" s="10">
        <f t="shared" si="0"/>
        <v>91</v>
      </c>
      <c r="J46" s="11"/>
    </row>
    <row r="47" spans="1:10" s="15" customFormat="1">
      <c r="A47" s="12">
        <f>[1]试卷成绩登记!A48</f>
        <v>46</v>
      </c>
      <c r="B47" s="13" t="str">
        <f>[1]试卷成绩登记!E49</f>
        <v>会242</v>
      </c>
      <c r="C47" s="14" t="str">
        <f>[1]试卷成绩登记!B49</f>
        <v>2024311482</v>
      </c>
      <c r="D47" s="14" t="str">
        <f>[1]试卷成绩登记!C49</f>
        <v>胡欣蕊</v>
      </c>
      <c r="E47" s="9">
        <f>[1]试卷成绩登记!R49</f>
        <v>10</v>
      </c>
      <c r="F47" s="9">
        <f>[1]试卷成绩登记!S49</f>
        <v>17</v>
      </c>
      <c r="G47" s="9">
        <f>[1]试卷成绩登记!T49</f>
        <v>24</v>
      </c>
      <c r="H47" s="9">
        <f>[1]试卷成绩登记!K49</f>
        <v>50</v>
      </c>
      <c r="I47" s="10">
        <f t="shared" si="0"/>
        <v>71</v>
      </c>
      <c r="J47" s="11"/>
    </row>
    <row r="48" spans="1:10" s="15" customFormat="1">
      <c r="A48" s="12">
        <f>[1]试卷成绩登记!A49</f>
        <v>47</v>
      </c>
      <c r="B48" s="13" t="str">
        <f>[1]试卷成绩登记!E50</f>
        <v>会242</v>
      </c>
      <c r="C48" s="14" t="str">
        <f>[1]试卷成绩登记!B50</f>
        <v>2024311483</v>
      </c>
      <c r="D48" s="14" t="str">
        <f>[1]试卷成绩登记!C50</f>
        <v>李炳坤</v>
      </c>
      <c r="E48" s="9">
        <f>[1]试卷成绩登记!R50</f>
        <v>10</v>
      </c>
      <c r="F48" s="9">
        <f>[1]试卷成绩登记!S50</f>
        <v>19</v>
      </c>
      <c r="G48" s="9">
        <f>[1]试卷成绩登记!T50</f>
        <v>27</v>
      </c>
      <c r="H48" s="9">
        <f>[1]试卷成绩登记!K50</f>
        <v>42</v>
      </c>
      <c r="I48" s="10">
        <f t="shared" si="0"/>
        <v>72</v>
      </c>
      <c r="J48" s="11"/>
    </row>
    <row r="49" spans="1:10" s="15" customFormat="1">
      <c r="A49" s="12">
        <f>[1]试卷成绩登记!A50</f>
        <v>48</v>
      </c>
      <c r="B49" s="13" t="str">
        <f>[1]试卷成绩登记!E51</f>
        <v>会242</v>
      </c>
      <c r="C49" s="14">
        <f>[1]试卷成绩登记!B51</f>
        <v>2024311485</v>
      </c>
      <c r="D49" s="14" t="str">
        <f>[1]试卷成绩登记!C51</f>
        <v>王露瑶</v>
      </c>
      <c r="E49" s="9">
        <f>[1]试卷成绩登记!R51</f>
        <v>10</v>
      </c>
      <c r="F49" s="9">
        <f>[1]试卷成绩登记!S51</f>
        <v>11</v>
      </c>
      <c r="G49" s="9">
        <f>[1]试卷成绩登记!T51</f>
        <v>10</v>
      </c>
      <c r="H49" s="9">
        <f>[1]试卷成绩登记!K51</f>
        <v>28</v>
      </c>
      <c r="I49" s="10">
        <f t="shared" si="0"/>
        <v>42</v>
      </c>
      <c r="J49" s="11"/>
    </row>
    <row r="50" spans="1:10" s="15" customFormat="1">
      <c r="A50" s="12">
        <f>[1]试卷成绩登记!A51</f>
        <v>49</v>
      </c>
      <c r="B50" s="13" t="str">
        <f>[1]试卷成绩登记!E52</f>
        <v>会242</v>
      </c>
      <c r="C50" s="14" t="str">
        <f>[1]试卷成绩登记!B52</f>
        <v>2024311486</v>
      </c>
      <c r="D50" s="14" t="str">
        <f>[1]试卷成绩登记!C52</f>
        <v>彭心怡</v>
      </c>
      <c r="E50" s="9">
        <f>[1]试卷成绩登记!R52</f>
        <v>10</v>
      </c>
      <c r="F50" s="9">
        <f>[1]试卷成绩登记!S52</f>
        <v>20</v>
      </c>
      <c r="G50" s="9">
        <f>[1]试卷成绩登记!T52</f>
        <v>30</v>
      </c>
      <c r="H50" s="9">
        <f>[1]试卷成绩登记!K52</f>
        <v>87</v>
      </c>
      <c r="I50" s="10">
        <f t="shared" si="0"/>
        <v>94</v>
      </c>
      <c r="J50" s="11"/>
    </row>
    <row r="51" spans="1:10" s="15" customFormat="1">
      <c r="A51" s="12">
        <f>[1]试卷成绩登记!A52</f>
        <v>50</v>
      </c>
      <c r="B51" s="13" t="str">
        <f>[1]试卷成绩登记!E53</f>
        <v>会242</v>
      </c>
      <c r="C51" s="14" t="str">
        <f>[1]试卷成绩登记!B53</f>
        <v>2024311487</v>
      </c>
      <c r="D51" s="14" t="str">
        <f>[1]试卷成绩登记!C53</f>
        <v>王子锋</v>
      </c>
      <c r="E51" s="9">
        <f>[1]试卷成绩登记!R53</f>
        <v>10</v>
      </c>
      <c r="F51" s="9">
        <f>[1]试卷成绩登记!S53</f>
        <v>20</v>
      </c>
      <c r="G51" s="9">
        <f>[1]试卷成绩登记!T53</f>
        <v>30</v>
      </c>
      <c r="H51" s="9">
        <f>[1]试卷成绩登记!K53</f>
        <v>58</v>
      </c>
      <c r="I51" s="10">
        <f t="shared" si="0"/>
        <v>83</v>
      </c>
      <c r="J51" s="11"/>
    </row>
    <row r="52" spans="1:10" s="15" customFormat="1">
      <c r="A52" s="12">
        <f>[1]试卷成绩登记!A53</f>
        <v>51</v>
      </c>
      <c r="B52" s="13" t="str">
        <f>[1]试卷成绩登记!E54</f>
        <v>会242</v>
      </c>
      <c r="C52" s="14" t="str">
        <f>[1]试卷成绩登记!B54</f>
        <v>2024311488</v>
      </c>
      <c r="D52" s="14" t="str">
        <f>[1]试卷成绩登记!C54</f>
        <v>史泽澳</v>
      </c>
      <c r="E52" s="9">
        <f>[1]试卷成绩登记!R54</f>
        <v>10</v>
      </c>
      <c r="F52" s="9">
        <f>[1]试卷成绩登记!S54</f>
        <v>20</v>
      </c>
      <c r="G52" s="9">
        <f>[1]试卷成绩登记!T54</f>
        <v>30</v>
      </c>
      <c r="H52" s="9">
        <f>[1]试卷成绩登记!K54</f>
        <v>58</v>
      </c>
      <c r="I52" s="10">
        <f t="shared" si="0"/>
        <v>83</v>
      </c>
      <c r="J52" s="11"/>
    </row>
    <row r="53" spans="1:10" s="15" customFormat="1">
      <c r="A53" s="12">
        <f>[1]试卷成绩登记!A54</f>
        <v>52</v>
      </c>
      <c r="B53" s="13" t="str">
        <f>[1]试卷成绩登记!E55</f>
        <v>会242</v>
      </c>
      <c r="C53" s="14" t="str">
        <f>[1]试卷成绩登记!B55</f>
        <v>2024311489</v>
      </c>
      <c r="D53" s="14" t="str">
        <f>[1]试卷成绩登记!C55</f>
        <v>李泽浩</v>
      </c>
      <c r="E53" s="9">
        <f>[1]试卷成绩登记!R55</f>
        <v>10</v>
      </c>
      <c r="F53" s="9">
        <f>[1]试卷成绩登记!S55</f>
        <v>14</v>
      </c>
      <c r="G53" s="9">
        <f>[1]试卷成绩登记!T55</f>
        <v>24</v>
      </c>
      <c r="H53" s="9">
        <f>[1]试卷成绩登记!K55</f>
        <v>49</v>
      </c>
      <c r="I53" s="10">
        <f t="shared" si="0"/>
        <v>67</v>
      </c>
      <c r="J53" s="11"/>
    </row>
    <row r="54" spans="1:10" s="15" customFormat="1">
      <c r="A54" s="12">
        <f>[1]试卷成绩登记!A55</f>
        <v>53</v>
      </c>
      <c r="B54" s="13" t="str">
        <f>[1]试卷成绩登记!E56</f>
        <v>会242</v>
      </c>
      <c r="C54" s="14" t="str">
        <f>[1]试卷成绩登记!B56</f>
        <v>2024311490</v>
      </c>
      <c r="D54" s="14" t="str">
        <f>[1]试卷成绩登记!C56</f>
        <v>王静怡</v>
      </c>
      <c r="E54" s="9">
        <f>[1]试卷成绩登记!R56</f>
        <v>10</v>
      </c>
      <c r="F54" s="9">
        <f>[1]试卷成绩登记!S56</f>
        <v>14</v>
      </c>
      <c r="G54" s="9">
        <f>[1]试卷成绩登记!T56</f>
        <v>23</v>
      </c>
      <c r="H54" s="9">
        <f>[1]试卷成绩登记!K56</f>
        <v>40</v>
      </c>
      <c r="I54" s="10">
        <f t="shared" si="0"/>
        <v>63</v>
      </c>
      <c r="J54" s="11"/>
    </row>
    <row r="55" spans="1:10" s="15" customFormat="1">
      <c r="A55" s="12">
        <f>[1]试卷成绩登记!A56</f>
        <v>54</v>
      </c>
      <c r="B55" s="13" t="str">
        <f>[1]试卷成绩登记!E57</f>
        <v>会242</v>
      </c>
      <c r="C55" s="14" t="str">
        <f>[1]试卷成绩登记!B57</f>
        <v>2024311491</v>
      </c>
      <c r="D55" s="14" t="str">
        <f>[1]试卷成绩登记!C57</f>
        <v>王雨琪</v>
      </c>
      <c r="E55" s="9">
        <f>[1]试卷成绩登记!R57</f>
        <v>10</v>
      </c>
      <c r="F55" s="9">
        <f>[1]试卷成绩登记!S57</f>
        <v>19</v>
      </c>
      <c r="G55" s="9">
        <f>[1]试卷成绩登记!T57</f>
        <v>30</v>
      </c>
      <c r="H55" s="9">
        <f>[1]试卷成绩登记!K57</f>
        <v>54</v>
      </c>
      <c r="I55" s="10">
        <f t="shared" si="0"/>
        <v>80</v>
      </c>
      <c r="J55" s="11"/>
    </row>
    <row r="56" spans="1:10" s="15" customFormat="1">
      <c r="A56" s="12">
        <f>[1]试卷成绩登记!A57</f>
        <v>55</v>
      </c>
      <c r="B56" s="13" t="str">
        <f>[1]试卷成绩登记!E58</f>
        <v>会242</v>
      </c>
      <c r="C56" s="14" t="str">
        <f>[1]试卷成绩登记!B58</f>
        <v>2024311493</v>
      </c>
      <c r="D56" s="14" t="str">
        <f>[1]试卷成绩登记!C58</f>
        <v>刘奕含</v>
      </c>
      <c r="E56" s="9">
        <f>[1]试卷成绩登记!R58</f>
        <v>9</v>
      </c>
      <c r="F56" s="9">
        <f>[1]试卷成绩登记!S58</f>
        <v>18</v>
      </c>
      <c r="G56" s="9">
        <f>[1]试卷成绩登记!T58</f>
        <v>25</v>
      </c>
      <c r="H56" s="9">
        <f>[1]试卷成绩登记!K58</f>
        <v>51</v>
      </c>
      <c r="I56" s="10">
        <f t="shared" si="0"/>
        <v>72</v>
      </c>
      <c r="J56" s="11"/>
    </row>
    <row r="57" spans="1:10" s="15" customFormat="1">
      <c r="A57" s="12">
        <f>[1]试卷成绩登记!A58</f>
        <v>56</v>
      </c>
      <c r="B57" s="13" t="str">
        <f>[1]试卷成绩登记!E59</f>
        <v>会242</v>
      </c>
      <c r="C57" s="14" t="str">
        <f>[1]试卷成绩登记!B59</f>
        <v>2024311494</v>
      </c>
      <c r="D57" s="14" t="str">
        <f>[1]试卷成绩登记!C59</f>
        <v>王雨晴</v>
      </c>
      <c r="E57" s="9">
        <f>[1]试卷成绩登记!R59</f>
        <v>10</v>
      </c>
      <c r="F57" s="9">
        <f>[1]试卷成绩登记!S59</f>
        <v>20</v>
      </c>
      <c r="G57" s="9">
        <f>[1]试卷成绩登记!T59</f>
        <v>30</v>
      </c>
      <c r="H57" s="9">
        <f>[1]试卷成绩登记!K59</f>
        <v>83</v>
      </c>
      <c r="I57" s="10">
        <f t="shared" si="0"/>
        <v>93</v>
      </c>
      <c r="J57" s="11"/>
    </row>
    <row r="58" spans="1:10" s="15" customFormat="1">
      <c r="A58" s="12">
        <f>[1]试卷成绩登记!A59</f>
        <v>57</v>
      </c>
      <c r="B58" s="13" t="str">
        <f>[1]试卷成绩登记!E60</f>
        <v>会242</v>
      </c>
      <c r="C58" s="14" t="str">
        <f>[1]试卷成绩登记!B60</f>
        <v>2024311495</v>
      </c>
      <c r="D58" s="14" t="str">
        <f>[1]试卷成绩登记!C60</f>
        <v>巴文博</v>
      </c>
      <c r="E58" s="9">
        <f>[1]试卷成绩登记!R60</f>
        <v>10</v>
      </c>
      <c r="F58" s="9">
        <f>[1]试卷成绩登记!S60</f>
        <v>18</v>
      </c>
      <c r="G58" s="9">
        <f>[1]试卷成绩登记!T60</f>
        <v>28</v>
      </c>
      <c r="H58" s="9">
        <f>[1]试卷成绩登记!K60</f>
        <v>48</v>
      </c>
      <c r="I58" s="10">
        <f t="shared" si="0"/>
        <v>75</v>
      </c>
      <c r="J58" s="11"/>
    </row>
    <row r="59" spans="1:10" s="15" customFormat="1">
      <c r="A59" s="12">
        <f>[1]试卷成绩登记!A60</f>
        <v>58</v>
      </c>
      <c r="B59" s="13" t="str">
        <f>[1]试卷成绩登记!E61</f>
        <v>会242</v>
      </c>
      <c r="C59" s="14" t="str">
        <f>[1]试卷成绩登记!B61</f>
        <v>2024311496</v>
      </c>
      <c r="D59" s="14" t="str">
        <f>[1]试卷成绩登记!C61</f>
        <v>梁鸣</v>
      </c>
      <c r="E59" s="9">
        <f>[1]试卷成绩登记!R61</f>
        <v>10</v>
      </c>
      <c r="F59" s="9">
        <f>[1]试卷成绩登记!S61</f>
        <v>15</v>
      </c>
      <c r="G59" s="9">
        <f>[1]试卷成绩登记!T61</f>
        <v>23</v>
      </c>
      <c r="H59" s="9">
        <f>[1]试卷成绩登记!K61</f>
        <v>43</v>
      </c>
      <c r="I59" s="10">
        <f t="shared" si="0"/>
        <v>65</v>
      </c>
      <c r="J59" s="11"/>
    </row>
    <row r="60" spans="1:10" s="15" customFormat="1">
      <c r="A60" s="12">
        <f>[1]试卷成绩登记!A61</f>
        <v>59</v>
      </c>
      <c r="B60" s="13" t="str">
        <f>[1]试卷成绩登记!E62</f>
        <v>会242</v>
      </c>
      <c r="C60" s="14">
        <f>[1]试卷成绩登记!B62</f>
        <v>2024311497</v>
      </c>
      <c r="D60" s="14" t="str">
        <f>[1]试卷成绩登记!C62</f>
        <v>肖阳</v>
      </c>
      <c r="E60" s="9">
        <f>[1]试卷成绩登记!R62</f>
        <v>10</v>
      </c>
      <c r="F60" s="9">
        <f>[1]试卷成绩登记!S62</f>
        <v>20</v>
      </c>
      <c r="G60" s="9">
        <f>[1]试卷成绩登记!T62</f>
        <v>30</v>
      </c>
      <c r="H60" s="9">
        <f>[1]试卷成绩登记!K62</f>
        <v>79</v>
      </c>
      <c r="I60" s="10">
        <f t="shared" si="0"/>
        <v>91</v>
      </c>
      <c r="J60" s="11"/>
    </row>
    <row r="61" spans="1:10" s="15" customFormat="1">
      <c r="A61" s="12">
        <f>[1]试卷成绩登记!A62</f>
        <v>60</v>
      </c>
      <c r="B61" s="13" t="str">
        <f>[1]试卷成绩登记!E63</f>
        <v>会242</v>
      </c>
      <c r="C61" s="14" t="str">
        <f>[1]试卷成绩登记!B63</f>
        <v>2024311498</v>
      </c>
      <c r="D61" s="14" t="str">
        <f>[1]试卷成绩登记!C63</f>
        <v>付昭怡</v>
      </c>
      <c r="E61" s="9">
        <f>[1]试卷成绩登记!R63</f>
        <v>10</v>
      </c>
      <c r="F61" s="9">
        <f>[1]试卷成绩登记!S63</f>
        <v>20</v>
      </c>
      <c r="G61" s="9">
        <f>[1]试卷成绩登记!T63</f>
        <v>29</v>
      </c>
      <c r="H61" s="9">
        <f>[1]试卷成绩登记!K63</f>
        <v>61</v>
      </c>
      <c r="I61" s="10">
        <f t="shared" si="0"/>
        <v>83</v>
      </c>
      <c r="J61" s="11"/>
    </row>
    <row r="62" spans="1:10" s="15" customFormat="1">
      <c r="A62" s="12">
        <f>[1]试卷成绩登记!A63</f>
        <v>61</v>
      </c>
      <c r="B62" s="13" t="str">
        <f>[1]试卷成绩登记!E64</f>
        <v>会242</v>
      </c>
      <c r="C62" s="14" t="str">
        <f>[1]试卷成绩登记!B64</f>
        <v>2024311499</v>
      </c>
      <c r="D62" s="14" t="str">
        <f>[1]试卷成绩登记!C64</f>
        <v>张语迪</v>
      </c>
      <c r="E62" s="9">
        <f>[1]试卷成绩登记!R64</f>
        <v>10</v>
      </c>
      <c r="F62" s="9">
        <f>[1]试卷成绩登记!S64</f>
        <v>16</v>
      </c>
      <c r="G62" s="9">
        <f>[1]试卷成绩登记!T64</f>
        <v>26</v>
      </c>
      <c r="H62" s="9">
        <f>[1]试卷成绩登记!K64</f>
        <v>49</v>
      </c>
      <c r="I62" s="10">
        <f t="shared" si="0"/>
        <v>71</v>
      </c>
      <c r="J62" s="11"/>
    </row>
    <row r="63" spans="1:10" s="15" customFormat="1">
      <c r="A63" s="12">
        <f>[1]试卷成绩登记!A64</f>
        <v>62</v>
      </c>
      <c r="B63" s="13" t="str">
        <f>[1]试卷成绩登记!E65</f>
        <v>会242</v>
      </c>
      <c r="C63" s="14" t="str">
        <f>[1]试卷成绩登记!B65</f>
        <v>2024311500</v>
      </c>
      <c r="D63" s="14" t="str">
        <f>[1]试卷成绩登记!C65</f>
        <v>朱靖雯</v>
      </c>
      <c r="E63" s="9">
        <f>[1]试卷成绩登记!R65</f>
        <v>9</v>
      </c>
      <c r="F63" s="9">
        <f>[1]试卷成绩登记!S65</f>
        <v>15</v>
      </c>
      <c r="G63" s="9">
        <f>[1]试卷成绩登记!T65</f>
        <v>23</v>
      </c>
      <c r="H63" s="9">
        <f>[1]试卷成绩登记!K65</f>
        <v>40</v>
      </c>
      <c r="I63" s="10">
        <f t="shared" si="0"/>
        <v>63</v>
      </c>
      <c r="J63" s="11"/>
    </row>
    <row r="64" spans="1:10" s="15" customFormat="1">
      <c r="A64" s="12">
        <f>[1]试卷成绩登记!A65</f>
        <v>63</v>
      </c>
      <c r="B64" s="13" t="str">
        <f>[1]试卷成绩登记!E66</f>
        <v>会242</v>
      </c>
      <c r="C64" s="14" t="str">
        <f>[1]试卷成绩登记!B66</f>
        <v>2024311501</v>
      </c>
      <c r="D64" s="14" t="str">
        <f>[1]试卷成绩登记!C66</f>
        <v>王雨霏</v>
      </c>
      <c r="E64" s="9">
        <f>[1]试卷成绩登记!R66</f>
        <v>10</v>
      </c>
      <c r="F64" s="9">
        <f>[1]试卷成绩登记!S66</f>
        <v>14</v>
      </c>
      <c r="G64" s="9">
        <f>[1]试卷成绩登记!T66</f>
        <v>20</v>
      </c>
      <c r="H64" s="9">
        <f>[1]试卷成绩登记!K66</f>
        <v>52</v>
      </c>
      <c r="I64" s="10">
        <f t="shared" si="0"/>
        <v>64</v>
      </c>
      <c r="J64" s="11"/>
    </row>
    <row r="65" spans="1:10" s="15" customFormat="1">
      <c r="A65" s="12">
        <f>[1]试卷成绩登记!A66</f>
        <v>64</v>
      </c>
      <c r="B65" s="13" t="str">
        <f>[1]试卷成绩登记!E67</f>
        <v>会242</v>
      </c>
      <c r="C65" s="14" t="str">
        <f>[1]试卷成绩登记!B67</f>
        <v>2024311502</v>
      </c>
      <c r="D65" s="14" t="str">
        <f>[1]试卷成绩登记!C67</f>
        <v>郑司琦</v>
      </c>
      <c r="E65" s="9">
        <f>[1]试卷成绩登记!R67</f>
        <v>10</v>
      </c>
      <c r="F65" s="9">
        <f>[1]试卷成绩登记!S67</f>
        <v>15</v>
      </c>
      <c r="G65" s="9">
        <f>[1]试卷成绩登记!T67</f>
        <v>24</v>
      </c>
      <c r="H65" s="9">
        <f>[1]试卷成绩登记!K67</f>
        <v>48</v>
      </c>
      <c r="I65" s="10">
        <f t="shared" si="0"/>
        <v>68</v>
      </c>
      <c r="J65" s="11"/>
    </row>
    <row r="66" spans="1:10" s="15" customFormat="1">
      <c r="A66" s="12">
        <f>[1]试卷成绩登记!A67</f>
        <v>65</v>
      </c>
      <c r="B66" s="13" t="str">
        <f>[1]试卷成绩登记!E68</f>
        <v>会242</v>
      </c>
      <c r="C66" s="14" t="str">
        <f>[1]试卷成绩登记!B68</f>
        <v>2024311504</v>
      </c>
      <c r="D66" s="14" t="str">
        <f>[1]试卷成绩登记!C68</f>
        <v>王妃</v>
      </c>
      <c r="E66" s="9">
        <f>[1]试卷成绩登记!R68</f>
        <v>10</v>
      </c>
      <c r="F66" s="9">
        <f>[1]试卷成绩登记!S68</f>
        <v>20</v>
      </c>
      <c r="G66" s="9">
        <f>[1]试卷成绩登记!T68</f>
        <v>30</v>
      </c>
      <c r="H66" s="9">
        <f>[1]试卷成绩登记!K68</f>
        <v>89</v>
      </c>
      <c r="I66" s="10">
        <f t="shared" ref="I66:I112" si="1">INT(E66+G66+F66+H66*0.4)</f>
        <v>95</v>
      </c>
      <c r="J66" s="11"/>
    </row>
    <row r="67" spans="1:10" s="15" customFormat="1">
      <c r="A67" s="12">
        <f>[1]试卷成绩登记!A68</f>
        <v>66</v>
      </c>
      <c r="B67" s="13" t="str">
        <f>[1]试卷成绩登记!E69</f>
        <v>会242</v>
      </c>
      <c r="C67" s="14" t="str">
        <f>[1]试卷成绩登记!B69</f>
        <v>2024311505</v>
      </c>
      <c r="D67" s="14" t="str">
        <f>[1]试卷成绩登记!C69</f>
        <v>王子谏</v>
      </c>
      <c r="E67" s="9">
        <f>[1]试卷成绩登记!R69</f>
        <v>9</v>
      </c>
      <c r="F67" s="9">
        <f>[1]试卷成绩登记!S69</f>
        <v>18</v>
      </c>
      <c r="G67" s="9">
        <f>[1]试卷成绩登记!T69</f>
        <v>25</v>
      </c>
      <c r="H67" s="9">
        <f>[1]试卷成绩登记!K69</f>
        <v>51</v>
      </c>
      <c r="I67" s="10">
        <f t="shared" si="1"/>
        <v>72</v>
      </c>
      <c r="J67" s="11"/>
    </row>
    <row r="68" spans="1:10" s="15" customFormat="1">
      <c r="A68" s="12">
        <f>[1]试卷成绩登记!A69</f>
        <v>67</v>
      </c>
      <c r="B68" s="13" t="str">
        <f>[1]试卷成绩登记!E70</f>
        <v>会242</v>
      </c>
      <c r="C68" s="14" t="str">
        <f>[1]试卷成绩登记!B70</f>
        <v>2024311506</v>
      </c>
      <c r="D68" s="14" t="str">
        <f>[1]试卷成绩登记!C70</f>
        <v>刘硕</v>
      </c>
      <c r="E68" s="9">
        <f>[1]试卷成绩登记!R70</f>
        <v>10</v>
      </c>
      <c r="F68" s="9">
        <f>[1]试卷成绩登记!S70</f>
        <v>20</v>
      </c>
      <c r="G68" s="9">
        <f>[1]试卷成绩登记!T70</f>
        <v>28</v>
      </c>
      <c r="H68" s="9">
        <f>[1]试卷成绩登记!K70</f>
        <v>59</v>
      </c>
      <c r="I68" s="10">
        <f t="shared" si="1"/>
        <v>81</v>
      </c>
      <c r="J68" s="11"/>
    </row>
    <row r="69" spans="1:10" s="15" customFormat="1">
      <c r="A69" s="12">
        <f>[1]试卷成绩登记!A70</f>
        <v>68</v>
      </c>
      <c r="B69" s="13" t="str">
        <f>[1]试卷成绩登记!E71</f>
        <v>会242</v>
      </c>
      <c r="C69" s="14" t="str">
        <f>[1]试卷成绩登记!B71</f>
        <v>2024311580</v>
      </c>
      <c r="D69" s="14" t="str">
        <f>[1]试卷成绩登记!C71</f>
        <v>李佳仪</v>
      </c>
      <c r="E69" s="9">
        <f>[1]试卷成绩登记!R71</f>
        <v>10</v>
      </c>
      <c r="F69" s="9">
        <f>[1]试卷成绩登记!S71</f>
        <v>20</v>
      </c>
      <c r="G69" s="9">
        <f>[1]试卷成绩登记!T71</f>
        <v>30</v>
      </c>
      <c r="H69" s="9">
        <f>[1]试卷成绩登记!K71</f>
        <v>70</v>
      </c>
      <c r="I69" s="10">
        <f t="shared" si="1"/>
        <v>88</v>
      </c>
      <c r="J69" s="11"/>
    </row>
    <row r="70" spans="1:10" s="15" customFormat="1">
      <c r="A70" s="12">
        <f>[1]试卷成绩登记!A71</f>
        <v>69</v>
      </c>
      <c r="B70" s="13" t="str">
        <f>[1]试卷成绩登记!E72</f>
        <v>会242</v>
      </c>
      <c r="C70" s="14" t="str">
        <f>[1]试卷成绩登记!B72</f>
        <v>2024311625</v>
      </c>
      <c r="D70" s="14" t="str">
        <f>[1]试卷成绩登记!C72</f>
        <v>夏旭然</v>
      </c>
      <c r="E70" s="9">
        <f>[1]试卷成绩登记!R72</f>
        <v>10</v>
      </c>
      <c r="F70" s="9">
        <f>[1]试卷成绩登记!S72</f>
        <v>20</v>
      </c>
      <c r="G70" s="9">
        <f>[1]试卷成绩登记!T72</f>
        <v>30</v>
      </c>
      <c r="H70" s="9">
        <f>[1]试卷成绩登记!K72</f>
        <v>77</v>
      </c>
      <c r="I70" s="10">
        <f t="shared" si="1"/>
        <v>90</v>
      </c>
      <c r="J70" s="11"/>
    </row>
    <row r="71" spans="1:10" s="15" customFormat="1">
      <c r="A71" s="12">
        <f>[1]试卷成绩登记!A72</f>
        <v>70</v>
      </c>
      <c r="B71" s="13" t="str">
        <f>[1]试卷成绩登记!E73</f>
        <v>会242</v>
      </c>
      <c r="C71" s="14" t="str">
        <f>[1]试卷成绩登记!B73</f>
        <v>2024311670</v>
      </c>
      <c r="D71" s="14" t="str">
        <f>[1]试卷成绩登记!C73</f>
        <v>疏佳依</v>
      </c>
      <c r="E71" s="9">
        <f>[1]试卷成绩登记!R73</f>
        <v>10</v>
      </c>
      <c r="F71" s="9">
        <f>[1]试卷成绩登记!S73</f>
        <v>16</v>
      </c>
      <c r="G71" s="9">
        <f>[1]试卷成绩登记!T73</f>
        <v>22</v>
      </c>
      <c r="H71" s="9">
        <f>[1]试卷成绩登记!K73</f>
        <v>37</v>
      </c>
      <c r="I71" s="10">
        <f t="shared" si="1"/>
        <v>62</v>
      </c>
      <c r="J71" s="11"/>
    </row>
    <row r="72" spans="1:10" s="15" customFormat="1">
      <c r="A72" s="12">
        <f>[1]试卷成绩登记!A73</f>
        <v>71</v>
      </c>
      <c r="B72" s="13" t="str">
        <f>[1]试卷成绩登记!E74</f>
        <v>会243</v>
      </c>
      <c r="C72" s="14" t="str">
        <f>[1]试卷成绩登记!B74</f>
        <v>2024310181</v>
      </c>
      <c r="D72" s="14" t="str">
        <f>[1]试卷成绩登记!C74</f>
        <v>张家庚</v>
      </c>
      <c r="E72" s="9">
        <f>[1]试卷成绩登记!R74</f>
        <v>10</v>
      </c>
      <c r="F72" s="9">
        <f>[1]试卷成绩登记!S74</f>
        <v>15</v>
      </c>
      <c r="G72" s="9">
        <f>[1]试卷成绩登记!T74</f>
        <v>24</v>
      </c>
      <c r="H72" s="9">
        <f>[1]试卷成绩登记!K74</f>
        <v>48</v>
      </c>
      <c r="I72" s="10">
        <f t="shared" si="1"/>
        <v>68</v>
      </c>
      <c r="J72" s="11"/>
    </row>
    <row r="73" spans="1:10" s="15" customFormat="1">
      <c r="A73" s="12">
        <f>[1]试卷成绩登记!A74</f>
        <v>72</v>
      </c>
      <c r="B73" s="13" t="str">
        <f>[1]试卷成绩登记!E75</f>
        <v>会243</v>
      </c>
      <c r="C73" s="14" t="str">
        <f>[1]试卷成绩登记!B75</f>
        <v>2024310394</v>
      </c>
      <c r="D73" s="14" t="str">
        <f>[1]试卷成绩登记!C75</f>
        <v>谭景彬</v>
      </c>
      <c r="E73" s="9">
        <f>[1]试卷成绩登记!R75</f>
        <v>8</v>
      </c>
      <c r="F73" s="9">
        <f>[1]试卷成绩登记!S75</f>
        <v>20</v>
      </c>
      <c r="G73" s="9">
        <f>[1]试卷成绩登记!T75</f>
        <v>30</v>
      </c>
      <c r="H73" s="9">
        <f>[1]试卷成绩登记!K75</f>
        <v>76</v>
      </c>
      <c r="I73" s="10">
        <f t="shared" si="1"/>
        <v>88</v>
      </c>
      <c r="J73" s="11"/>
    </row>
    <row r="74" spans="1:10" s="15" customFormat="1">
      <c r="A74" s="12">
        <f>[1]试卷成绩登记!A75</f>
        <v>73</v>
      </c>
      <c r="B74" s="13" t="str">
        <f>[1]试卷成绩登记!E76</f>
        <v>会243</v>
      </c>
      <c r="C74" s="14" t="str">
        <f>[1]试卷成绩登记!B76</f>
        <v>2024311295</v>
      </c>
      <c r="D74" s="14" t="str">
        <f>[1]试卷成绩登记!C76</f>
        <v>王雪菲</v>
      </c>
      <c r="E74" s="9">
        <f>[1]试卷成绩登记!R76</f>
        <v>9</v>
      </c>
      <c r="F74" s="9">
        <f>[1]试卷成绩登记!S76</f>
        <v>20</v>
      </c>
      <c r="G74" s="9">
        <f>[1]试卷成绩登记!T76</f>
        <v>30</v>
      </c>
      <c r="H74" s="9">
        <f>[1]试卷成绩登记!K76</f>
        <v>64</v>
      </c>
      <c r="I74" s="10">
        <f t="shared" si="1"/>
        <v>84</v>
      </c>
      <c r="J74" s="11"/>
    </row>
    <row r="75" spans="1:10" s="15" customFormat="1">
      <c r="A75" s="12">
        <f>[1]试卷成绩登记!A76</f>
        <v>74</v>
      </c>
      <c r="B75" s="13" t="str">
        <f>[1]试卷成绩登记!E77</f>
        <v>会243</v>
      </c>
      <c r="C75" s="14">
        <f>[1]试卷成绩登记!B77</f>
        <v>2024311317</v>
      </c>
      <c r="D75" s="14" t="str">
        <f>[1]试卷成绩登记!C77</f>
        <v>夏珊</v>
      </c>
      <c r="E75" s="9">
        <f>[1]试卷成绩登记!R77</f>
        <v>10</v>
      </c>
      <c r="F75" s="9">
        <f>[1]试卷成绩登记!S77</f>
        <v>20</v>
      </c>
      <c r="G75" s="9">
        <f>[1]试卷成绩登记!T77</f>
        <v>30</v>
      </c>
      <c r="H75" s="9">
        <f>[1]试卷成绩登记!K77</f>
        <v>76</v>
      </c>
      <c r="I75" s="10">
        <f t="shared" si="1"/>
        <v>90</v>
      </c>
      <c r="J75" s="11"/>
    </row>
    <row r="76" spans="1:10" s="15" customFormat="1">
      <c r="A76" s="12">
        <f>[1]试卷成绩登记!A77</f>
        <v>75</v>
      </c>
      <c r="B76" s="13" t="str">
        <f>[1]试卷成绩登记!E78</f>
        <v>会243</v>
      </c>
      <c r="C76" s="14" t="str">
        <f>[1]试卷成绩登记!B78</f>
        <v>2024311355</v>
      </c>
      <c r="D76" s="14" t="str">
        <f>[1]试卷成绩登记!C78</f>
        <v>陈博洋</v>
      </c>
      <c r="E76" s="9">
        <f>[1]试卷成绩登记!R78</f>
        <v>9</v>
      </c>
      <c r="F76" s="9">
        <f>[1]试卷成绩登记!S78</f>
        <v>15</v>
      </c>
      <c r="G76" s="9">
        <f>[1]试卷成绩登记!T78</f>
        <v>23</v>
      </c>
      <c r="H76" s="9">
        <f>[1]试卷成绩登记!K78</f>
        <v>39</v>
      </c>
      <c r="I76" s="10">
        <f t="shared" si="1"/>
        <v>62</v>
      </c>
      <c r="J76" s="11"/>
    </row>
    <row r="77" spans="1:10" s="15" customFormat="1">
      <c r="A77" s="12">
        <f>[1]试卷成绩登记!A78</f>
        <v>76</v>
      </c>
      <c r="B77" s="13" t="str">
        <f>[1]试卷成绩登记!E79</f>
        <v>会243</v>
      </c>
      <c r="C77" s="14" t="str">
        <f>[1]试卷成绩登记!B79</f>
        <v>2024311367</v>
      </c>
      <c r="D77" s="14" t="str">
        <f>[1]试卷成绩登记!C79</f>
        <v>宋忻浓</v>
      </c>
      <c r="E77" s="9">
        <f>[1]试卷成绩登记!R79</f>
        <v>10</v>
      </c>
      <c r="F77" s="9">
        <f>[1]试卷成绩登记!S79</f>
        <v>15</v>
      </c>
      <c r="G77" s="9">
        <f>[1]试卷成绩登记!T79</f>
        <v>25</v>
      </c>
      <c r="H77" s="9">
        <f>[1]试卷成绩登记!K79</f>
        <v>53</v>
      </c>
      <c r="I77" s="10">
        <f t="shared" si="1"/>
        <v>71</v>
      </c>
      <c r="J77" s="11"/>
    </row>
    <row r="78" spans="1:10" s="15" customFormat="1">
      <c r="A78" s="12">
        <f>[1]试卷成绩登记!A79</f>
        <v>77</v>
      </c>
      <c r="B78" s="13" t="str">
        <f>[1]试卷成绩登记!E80</f>
        <v>会243</v>
      </c>
      <c r="C78" s="14" t="str">
        <f>[1]试卷成绩登记!B80</f>
        <v>2024311368</v>
      </c>
      <c r="D78" s="14" t="str">
        <f>[1]试卷成绩登记!C80</f>
        <v>卓博雅</v>
      </c>
      <c r="E78" s="9">
        <f>[1]试卷成绩登记!R80</f>
        <v>9</v>
      </c>
      <c r="F78" s="9">
        <f>[1]试卷成绩登记!S80</f>
        <v>18</v>
      </c>
      <c r="G78" s="9">
        <f>[1]试卷成绩登记!T80</f>
        <v>28</v>
      </c>
      <c r="H78" s="9">
        <f>[1]试卷成绩登记!K80</f>
        <v>52</v>
      </c>
      <c r="I78" s="10">
        <f t="shared" si="1"/>
        <v>75</v>
      </c>
      <c r="J78" s="11"/>
    </row>
    <row r="79" spans="1:10" s="15" customFormat="1">
      <c r="A79" s="12">
        <f>[1]试卷成绩登记!A80</f>
        <v>78</v>
      </c>
      <c r="B79" s="13" t="str">
        <f>[1]试卷成绩登记!E81</f>
        <v>会243</v>
      </c>
      <c r="C79" s="14" t="str">
        <f>[1]试卷成绩登记!B81</f>
        <v>2024311373</v>
      </c>
      <c r="D79" s="14" t="str">
        <f>[1]试卷成绩登记!C81</f>
        <v>杜安琪</v>
      </c>
      <c r="E79" s="9">
        <f>[1]试卷成绩登记!R81</f>
        <v>10</v>
      </c>
      <c r="F79" s="9">
        <f>[1]试卷成绩登记!S81</f>
        <v>19</v>
      </c>
      <c r="G79" s="9">
        <f>[1]试卷成绩登记!T81</f>
        <v>28</v>
      </c>
      <c r="H79" s="9">
        <f>[1]试卷成绩登记!K81</f>
        <v>58</v>
      </c>
      <c r="I79" s="10">
        <f t="shared" si="1"/>
        <v>80</v>
      </c>
      <c r="J79" s="11"/>
    </row>
    <row r="80" spans="1:10" s="15" customFormat="1">
      <c r="A80" s="12">
        <f>[1]试卷成绩登记!A81</f>
        <v>79</v>
      </c>
      <c r="B80" s="13" t="str">
        <f>[1]试卷成绩登记!E82</f>
        <v>会243</v>
      </c>
      <c r="C80" s="14" t="str">
        <f>[1]试卷成绩登记!B82</f>
        <v>2024311380</v>
      </c>
      <c r="D80" s="14" t="str">
        <f>[1]试卷成绩登记!C82</f>
        <v>曹轶</v>
      </c>
      <c r="E80" s="9">
        <f>[1]试卷成绩登记!R82</f>
        <v>10</v>
      </c>
      <c r="F80" s="9">
        <f>[1]试卷成绩登记!S82</f>
        <v>17</v>
      </c>
      <c r="G80" s="9">
        <f>[1]试卷成绩登记!T82</f>
        <v>26</v>
      </c>
      <c r="H80" s="9">
        <f>[1]试卷成绩登记!K82</f>
        <v>47</v>
      </c>
      <c r="I80" s="10">
        <f t="shared" si="1"/>
        <v>71</v>
      </c>
      <c r="J80" s="11"/>
    </row>
    <row r="81" spans="1:10" s="15" customFormat="1">
      <c r="A81" s="12">
        <f>[1]试卷成绩登记!A82</f>
        <v>80</v>
      </c>
      <c r="B81" s="13" t="str">
        <f>[1]试卷成绩登记!E83</f>
        <v>会243</v>
      </c>
      <c r="C81" s="14" t="str">
        <f>[1]试卷成绩登记!B83</f>
        <v>2024311387</v>
      </c>
      <c r="D81" s="14" t="str">
        <f>[1]试卷成绩登记!C83</f>
        <v>尤婉嘉</v>
      </c>
      <c r="E81" s="9">
        <f>[1]试卷成绩登记!R83</f>
        <v>10</v>
      </c>
      <c r="F81" s="9">
        <f>[1]试卷成绩登记!S83</f>
        <v>20</v>
      </c>
      <c r="G81" s="9">
        <f>[1]试卷成绩登记!T83</f>
        <v>30</v>
      </c>
      <c r="H81" s="9">
        <f>[1]试卷成绩登记!K83</f>
        <v>63</v>
      </c>
      <c r="I81" s="10">
        <f t="shared" si="1"/>
        <v>85</v>
      </c>
      <c r="J81" s="11"/>
    </row>
    <row r="82" spans="1:10" s="15" customFormat="1">
      <c r="A82" s="12">
        <f>[1]试卷成绩登记!A83</f>
        <v>81</v>
      </c>
      <c r="B82" s="13" t="str">
        <f>[1]试卷成绩登记!E84</f>
        <v>会243</v>
      </c>
      <c r="C82" s="14" t="str">
        <f>[1]试卷成绩登记!B84</f>
        <v>2024311443</v>
      </c>
      <c r="D82" s="14" t="str">
        <f>[1]试卷成绩登记!C84</f>
        <v>周思思</v>
      </c>
      <c r="E82" s="9">
        <f>[1]试卷成绩登记!R84</f>
        <v>10</v>
      </c>
      <c r="F82" s="9">
        <f>[1]试卷成绩登记!S84</f>
        <v>19</v>
      </c>
      <c r="G82" s="9">
        <f>[1]试卷成绩登记!T84</f>
        <v>29</v>
      </c>
      <c r="H82" s="9">
        <f>[1]试卷成绩登记!K84</f>
        <v>56</v>
      </c>
      <c r="I82" s="10">
        <f t="shared" si="1"/>
        <v>80</v>
      </c>
      <c r="J82" s="11"/>
    </row>
    <row r="83" spans="1:10" s="15" customFormat="1">
      <c r="A83" s="12">
        <f>[1]试卷成绩登记!A84</f>
        <v>82</v>
      </c>
      <c r="B83" s="13" t="str">
        <f>[1]试卷成绩登记!E85</f>
        <v>会243</v>
      </c>
      <c r="C83" s="14" t="str">
        <f>[1]试卷成绩登记!B85</f>
        <v>2024311449</v>
      </c>
      <c r="D83" s="14" t="str">
        <f>[1]试卷成绩登记!C85</f>
        <v>孙世佳</v>
      </c>
      <c r="E83" s="9">
        <f>[1]试卷成绩登记!R85</f>
        <v>10</v>
      </c>
      <c r="F83" s="9">
        <f>[1]试卷成绩登记!S85</f>
        <v>20</v>
      </c>
      <c r="G83" s="9">
        <f>[1]试卷成绩登记!T85</f>
        <v>30</v>
      </c>
      <c r="H83" s="9">
        <f>[1]试卷成绩登记!K85</f>
        <v>67</v>
      </c>
      <c r="I83" s="10">
        <f t="shared" si="1"/>
        <v>86</v>
      </c>
      <c r="J83" s="11"/>
    </row>
    <row r="84" spans="1:10" s="15" customFormat="1">
      <c r="A84" s="12">
        <f>[1]试卷成绩登记!A85</f>
        <v>83</v>
      </c>
      <c r="B84" s="13" t="str">
        <f>[1]试卷成绩登记!E86</f>
        <v>会243</v>
      </c>
      <c r="C84" s="14" t="str">
        <f>[1]试卷成绩登记!B86</f>
        <v>2024311450</v>
      </c>
      <c r="D84" s="14" t="str">
        <f>[1]试卷成绩登记!C86</f>
        <v>张嵘淏</v>
      </c>
      <c r="E84" s="9">
        <f>[1]试卷成绩登记!R86</f>
        <v>10</v>
      </c>
      <c r="F84" s="9">
        <f>[1]试卷成绩登记!S86</f>
        <v>18</v>
      </c>
      <c r="G84" s="9">
        <f>[1]试卷成绩登记!T86</f>
        <v>24</v>
      </c>
      <c r="H84" s="9">
        <f>[1]试卷成绩登记!K86</f>
        <v>49</v>
      </c>
      <c r="I84" s="10">
        <f t="shared" si="1"/>
        <v>71</v>
      </c>
      <c r="J84" s="11"/>
    </row>
    <row r="85" spans="1:10" s="15" customFormat="1">
      <c r="A85" s="12">
        <f>[1]试卷成绩登记!A86</f>
        <v>84</v>
      </c>
      <c r="B85" s="13" t="str">
        <f>[1]试卷成绩登记!E87</f>
        <v>会243</v>
      </c>
      <c r="C85" s="14" t="str">
        <f>[1]试卷成绩登记!B87</f>
        <v>2024311455</v>
      </c>
      <c r="D85" s="14" t="str">
        <f>[1]试卷成绩登记!C87</f>
        <v>胡昊天</v>
      </c>
      <c r="E85" s="9">
        <f>[1]试卷成绩登记!R87</f>
        <v>10</v>
      </c>
      <c r="F85" s="9">
        <f>[1]试卷成绩登记!S87</f>
        <v>20</v>
      </c>
      <c r="G85" s="9">
        <f>[1]试卷成绩登记!T87</f>
        <v>30</v>
      </c>
      <c r="H85" s="9">
        <f>[1]试卷成绩登记!K87</f>
        <v>73</v>
      </c>
      <c r="I85" s="10">
        <f t="shared" si="1"/>
        <v>89</v>
      </c>
      <c r="J85" s="11"/>
    </row>
    <row r="86" spans="1:10" s="15" customFormat="1">
      <c r="A86" s="12">
        <f>[1]试卷成绩登记!A87</f>
        <v>85</v>
      </c>
      <c r="B86" s="13" t="str">
        <f>[1]试卷成绩登记!E88</f>
        <v>会243</v>
      </c>
      <c r="C86" s="14" t="str">
        <f>[1]试卷成绩登记!B88</f>
        <v>2024311462</v>
      </c>
      <c r="D86" s="14" t="str">
        <f>[1]试卷成绩登记!C88</f>
        <v>李兆博</v>
      </c>
      <c r="E86" s="9">
        <f>[1]试卷成绩登记!R88</f>
        <v>9</v>
      </c>
      <c r="F86" s="9">
        <f>[1]试卷成绩登记!S88</f>
        <v>17</v>
      </c>
      <c r="G86" s="9">
        <f>[1]试卷成绩登记!T88</f>
        <v>23</v>
      </c>
      <c r="H86" s="9">
        <f>[1]试卷成绩登记!K88</f>
        <v>44</v>
      </c>
      <c r="I86" s="10">
        <f t="shared" si="1"/>
        <v>66</v>
      </c>
      <c r="J86" s="11"/>
    </row>
    <row r="87" spans="1:10" s="15" customFormat="1">
      <c r="A87" s="12">
        <f>[1]试卷成绩登记!A88</f>
        <v>86</v>
      </c>
      <c r="B87" s="13" t="str">
        <f>[1]试卷成绩登记!E89</f>
        <v>会243</v>
      </c>
      <c r="C87" s="14" t="str">
        <f>[1]试卷成绩登记!B89</f>
        <v>2024311464</v>
      </c>
      <c r="D87" s="14" t="str">
        <f>[1]试卷成绩登记!C89</f>
        <v>周自厚</v>
      </c>
      <c r="E87" s="9">
        <f>[1]试卷成绩登记!R89</f>
        <v>9</v>
      </c>
      <c r="F87" s="9">
        <f>[1]试卷成绩登记!S89</f>
        <v>16</v>
      </c>
      <c r="G87" s="9">
        <f>[1]试卷成绩登记!T89</f>
        <v>23</v>
      </c>
      <c r="H87" s="9">
        <f>[1]试卷成绩登记!K89</f>
        <v>30</v>
      </c>
      <c r="I87" s="10">
        <f t="shared" si="1"/>
        <v>60</v>
      </c>
      <c r="J87" s="11"/>
    </row>
    <row r="88" spans="1:10" s="15" customFormat="1">
      <c r="A88" s="12">
        <f>[1]试卷成绩登记!A89</f>
        <v>87</v>
      </c>
      <c r="B88" s="13" t="str">
        <f>[1]试卷成绩登记!E90</f>
        <v>会243</v>
      </c>
      <c r="C88" s="14" t="str">
        <f>[1]试卷成绩登记!B90</f>
        <v>2024311470</v>
      </c>
      <c r="D88" s="14" t="str">
        <f>[1]试卷成绩登记!C90</f>
        <v>龚欣玥</v>
      </c>
      <c r="E88" s="9">
        <f>[1]试卷成绩登记!R90</f>
        <v>9</v>
      </c>
      <c r="F88" s="9">
        <f>[1]试卷成绩登记!S90</f>
        <v>19</v>
      </c>
      <c r="G88" s="9">
        <f>[1]试卷成绩登记!T90</f>
        <v>29</v>
      </c>
      <c r="H88" s="9">
        <f>[1]试卷成绩登记!K90</f>
        <v>59</v>
      </c>
      <c r="I88" s="10">
        <f t="shared" si="1"/>
        <v>80</v>
      </c>
      <c r="J88" s="11"/>
    </row>
    <row r="89" spans="1:10" s="15" customFormat="1">
      <c r="A89" s="12">
        <f>[1]试卷成绩登记!A90</f>
        <v>88</v>
      </c>
      <c r="B89" s="13" t="str">
        <f>[1]试卷成绩登记!E91</f>
        <v>会243</v>
      </c>
      <c r="C89" s="14">
        <f>[1]试卷成绩登记!B91</f>
        <v>2024311503</v>
      </c>
      <c r="D89" s="14" t="str">
        <f>[1]试卷成绩登记!C91</f>
        <v>元莺静</v>
      </c>
      <c r="E89" s="9">
        <f>[1]试卷成绩登记!R91</f>
        <v>10</v>
      </c>
      <c r="F89" s="9">
        <f>[1]试卷成绩登记!S91</f>
        <v>20</v>
      </c>
      <c r="G89" s="9">
        <f>[1]试卷成绩登记!T91</f>
        <v>30</v>
      </c>
      <c r="H89" s="9">
        <f>[1]试卷成绩登记!K91</f>
        <v>85</v>
      </c>
      <c r="I89" s="10">
        <f t="shared" si="1"/>
        <v>94</v>
      </c>
      <c r="J89" s="11"/>
    </row>
    <row r="90" spans="1:10" s="15" customFormat="1">
      <c r="A90" s="12">
        <f>[1]试卷成绩登记!A91</f>
        <v>89</v>
      </c>
      <c r="B90" s="13" t="str">
        <f>[1]试卷成绩登记!E92</f>
        <v>会243</v>
      </c>
      <c r="C90" s="14" t="str">
        <f>[1]试卷成绩登记!B92</f>
        <v>2024311517</v>
      </c>
      <c r="D90" s="14" t="str">
        <f>[1]试卷成绩登记!C92</f>
        <v>张睿桐</v>
      </c>
      <c r="E90" s="9">
        <f>[1]试卷成绩登记!R92</f>
        <v>10</v>
      </c>
      <c r="F90" s="9">
        <f>[1]试卷成绩登记!S92</f>
        <v>14</v>
      </c>
      <c r="G90" s="9">
        <f>[1]试卷成绩登记!T92</f>
        <v>22</v>
      </c>
      <c r="H90" s="9">
        <f>[1]试卷成绩登记!K92</f>
        <v>37</v>
      </c>
      <c r="I90" s="10">
        <f t="shared" si="1"/>
        <v>60</v>
      </c>
      <c r="J90" s="11"/>
    </row>
    <row r="91" spans="1:10" s="15" customFormat="1">
      <c r="A91" s="12">
        <f>[1]试卷成绩登记!A92</f>
        <v>90</v>
      </c>
      <c r="B91" s="13" t="str">
        <f>[1]试卷成绩登记!E93</f>
        <v>会243</v>
      </c>
      <c r="C91" s="14" t="str">
        <f>[1]试卷成绩登记!B93</f>
        <v>2024311534</v>
      </c>
      <c r="D91" s="14" t="str">
        <f>[1]试卷成绩登记!C93</f>
        <v>郭瀑语</v>
      </c>
      <c r="E91" s="9">
        <f>[1]试卷成绩登记!R93</f>
        <v>9</v>
      </c>
      <c r="F91" s="9">
        <f>[1]试卷成绩登记!S93</f>
        <v>20</v>
      </c>
      <c r="G91" s="9">
        <f>[1]试卷成绩登记!T93</f>
        <v>30</v>
      </c>
      <c r="H91" s="9">
        <f>[1]试卷成绩登记!K93</f>
        <v>63</v>
      </c>
      <c r="I91" s="10">
        <f t="shared" si="1"/>
        <v>84</v>
      </c>
      <c r="J91" s="11"/>
    </row>
    <row r="92" spans="1:10" s="15" customFormat="1">
      <c r="A92" s="12">
        <f>[1]试卷成绩登记!A93</f>
        <v>91</v>
      </c>
      <c r="B92" s="13" t="str">
        <f>[1]试卷成绩登记!E94</f>
        <v>会243</v>
      </c>
      <c r="C92" s="14">
        <f>[1]试卷成绩登记!B94</f>
        <v>2024311539</v>
      </c>
      <c r="D92" s="14" t="str">
        <f>[1]试卷成绩登记!C94</f>
        <v>张晨蕊</v>
      </c>
      <c r="E92" s="9">
        <f>[1]试卷成绩登记!R94</f>
        <v>10</v>
      </c>
      <c r="F92" s="9">
        <f>[1]试卷成绩登记!S94</f>
        <v>20</v>
      </c>
      <c r="G92" s="9">
        <f>[1]试卷成绩登记!T94</f>
        <v>30</v>
      </c>
      <c r="H92" s="9">
        <f>[1]试卷成绩登记!K94</f>
        <v>60</v>
      </c>
      <c r="I92" s="10">
        <f t="shared" si="1"/>
        <v>84</v>
      </c>
      <c r="J92" s="11"/>
    </row>
    <row r="93" spans="1:10" s="15" customFormat="1">
      <c r="A93" s="12">
        <f>[1]试卷成绩登记!A94</f>
        <v>92</v>
      </c>
      <c r="B93" s="13" t="str">
        <f>[1]试卷成绩登记!E95</f>
        <v>会243</v>
      </c>
      <c r="C93" s="14">
        <f>[1]试卷成绩登记!B95</f>
        <v>2024311582</v>
      </c>
      <c r="D93" s="14" t="str">
        <f>[1]试卷成绩登记!C95</f>
        <v>杨淑婷</v>
      </c>
      <c r="E93" s="9">
        <f>[1]试卷成绩登记!R95</f>
        <v>8</v>
      </c>
      <c r="F93" s="9">
        <f>[1]试卷成绩登记!S95</f>
        <v>18</v>
      </c>
      <c r="G93" s="9">
        <f>[1]试卷成绩登记!T95</f>
        <v>29</v>
      </c>
      <c r="H93" s="9">
        <f>[1]试卷成绩登记!K95</f>
        <v>63</v>
      </c>
      <c r="I93" s="10">
        <f t="shared" si="1"/>
        <v>80</v>
      </c>
      <c r="J93" s="11"/>
    </row>
    <row r="94" spans="1:10">
      <c r="A94" s="12">
        <f>[1]试卷成绩登记!A95</f>
        <v>93</v>
      </c>
      <c r="B94" s="13" t="str">
        <f>[1]试卷成绩登记!E96</f>
        <v>会243</v>
      </c>
      <c r="C94" s="14" t="str">
        <f>[1]试卷成绩登记!B96</f>
        <v>2024311596</v>
      </c>
      <c r="D94" s="14" t="str">
        <f>[1]试卷成绩登记!C96</f>
        <v>张睿婷</v>
      </c>
      <c r="E94" s="9">
        <f>[1]试卷成绩登记!R96</f>
        <v>9</v>
      </c>
      <c r="F94" s="9">
        <f>[1]试卷成绩登记!S96</f>
        <v>11</v>
      </c>
      <c r="G94" s="9">
        <f>[1]试卷成绩登记!T96</f>
        <v>10</v>
      </c>
      <c r="H94" s="9">
        <f>[1]试卷成绩登记!K96</f>
        <v>28</v>
      </c>
      <c r="I94" s="10">
        <f t="shared" si="1"/>
        <v>41</v>
      </c>
      <c r="J94" s="11"/>
    </row>
    <row r="95" spans="1:10">
      <c r="A95" s="12">
        <f>[1]试卷成绩登记!A96</f>
        <v>94</v>
      </c>
      <c r="B95" s="13" t="str">
        <f>[1]试卷成绩登记!E97</f>
        <v>会243</v>
      </c>
      <c r="C95" s="14">
        <f>[1]试卷成绩登记!B97</f>
        <v>2024311598</v>
      </c>
      <c r="D95" s="14" t="str">
        <f>[1]试卷成绩登记!C97</f>
        <v>张百丽</v>
      </c>
      <c r="E95" s="9">
        <f>[1]试卷成绩登记!R97</f>
        <v>9</v>
      </c>
      <c r="F95" s="9">
        <f>[1]试卷成绩登记!S97</f>
        <v>15</v>
      </c>
      <c r="G95" s="9">
        <f>[1]试卷成绩登记!T97</f>
        <v>22</v>
      </c>
      <c r="H95" s="9">
        <f>[1]试卷成绩登记!K97</f>
        <v>47</v>
      </c>
      <c r="I95" s="10">
        <f t="shared" si="1"/>
        <v>64</v>
      </c>
      <c r="J95" s="11"/>
    </row>
    <row r="96" spans="1:10">
      <c r="A96" s="12">
        <f>[1]试卷成绩登记!A97</f>
        <v>95</v>
      </c>
      <c r="B96" s="13" t="str">
        <f>[1]试卷成绩登记!E98</f>
        <v>会243</v>
      </c>
      <c r="C96" s="14" t="str">
        <f>[1]试卷成绩登记!B98</f>
        <v>2024311607</v>
      </c>
      <c r="D96" s="14" t="str">
        <f>[1]试卷成绩登记!C98</f>
        <v>赵宇暄</v>
      </c>
      <c r="E96" s="9">
        <f>[1]试卷成绩登记!R98</f>
        <v>10</v>
      </c>
      <c r="F96" s="9">
        <f>[1]试卷成绩登记!S98</f>
        <v>20</v>
      </c>
      <c r="G96" s="9">
        <f>[1]试卷成绩登记!T98</f>
        <v>30</v>
      </c>
      <c r="H96" s="9">
        <f>[1]试卷成绩登记!K98</f>
        <v>90</v>
      </c>
      <c r="I96" s="10">
        <f t="shared" si="1"/>
        <v>96</v>
      </c>
      <c r="J96" s="11"/>
    </row>
    <row r="97" spans="1:10">
      <c r="A97" s="12">
        <f>[1]试卷成绩登记!A98</f>
        <v>96</v>
      </c>
      <c r="B97" s="13" t="str">
        <f>[1]试卷成绩登记!E99</f>
        <v>会243</v>
      </c>
      <c r="C97" s="14">
        <f>[1]试卷成绩登记!B99</f>
        <v>2024311626</v>
      </c>
      <c r="D97" s="14" t="str">
        <f>[1]试卷成绩登记!C99</f>
        <v>王姝颖</v>
      </c>
      <c r="E97" s="9">
        <f>[1]试卷成绩登记!R99</f>
        <v>10</v>
      </c>
      <c r="F97" s="9">
        <f>[1]试卷成绩登记!S99</f>
        <v>14</v>
      </c>
      <c r="G97" s="9">
        <f>[1]试卷成绩登记!T99</f>
        <v>23</v>
      </c>
      <c r="H97" s="9">
        <f>[1]试卷成绩登记!K99</f>
        <v>34</v>
      </c>
      <c r="I97" s="10">
        <f t="shared" si="1"/>
        <v>60</v>
      </c>
      <c r="J97" s="11"/>
    </row>
    <row r="98" spans="1:10">
      <c r="A98" s="12">
        <f>[1]试卷成绩登记!A99</f>
        <v>97</v>
      </c>
      <c r="B98" s="13" t="str">
        <f>[1]试卷成绩登记!E100</f>
        <v>会243</v>
      </c>
      <c r="C98" s="14" t="str">
        <f>[1]试卷成绩登记!B100</f>
        <v>2024311630</v>
      </c>
      <c r="D98" s="14" t="str">
        <f>[1]试卷成绩登记!C100</f>
        <v>李震宇</v>
      </c>
      <c r="E98" s="9">
        <f>[1]试卷成绩登记!R100</f>
        <v>9</v>
      </c>
      <c r="F98" s="9">
        <f>[1]试卷成绩登记!S100</f>
        <v>17</v>
      </c>
      <c r="G98" s="9">
        <f>[1]试卷成绩登记!T100</f>
        <v>22</v>
      </c>
      <c r="H98" s="9">
        <f>[1]试卷成绩登记!K100</f>
        <v>37</v>
      </c>
      <c r="I98" s="10">
        <f t="shared" si="1"/>
        <v>62</v>
      </c>
      <c r="J98" s="11"/>
    </row>
    <row r="99" spans="1:10">
      <c r="A99" s="12">
        <f>[1]试卷成绩登记!A100</f>
        <v>98</v>
      </c>
      <c r="B99" s="13" t="str">
        <f>[1]试卷成绩登记!E101</f>
        <v>会243</v>
      </c>
      <c r="C99" s="14" t="str">
        <f>[1]试卷成绩登记!B101</f>
        <v>2024311643</v>
      </c>
      <c r="D99" s="14" t="str">
        <f>[1]试卷成绩登记!C101</f>
        <v>王泳淇</v>
      </c>
      <c r="E99" s="9">
        <f>[1]试卷成绩登记!R101</f>
        <v>8</v>
      </c>
      <c r="F99" s="9">
        <f>[1]试卷成绩登记!S101</f>
        <v>18</v>
      </c>
      <c r="G99" s="9">
        <f>[1]试卷成绩登记!T101</f>
        <v>20</v>
      </c>
      <c r="H99" s="9">
        <f>[1]试卷成绩登记!K101</f>
        <v>36</v>
      </c>
      <c r="I99" s="10">
        <f t="shared" si="1"/>
        <v>60</v>
      </c>
      <c r="J99" s="11"/>
    </row>
    <row r="100" spans="1:10">
      <c r="A100" s="12">
        <f>[1]试卷成绩登记!A101</f>
        <v>99</v>
      </c>
      <c r="B100" s="13" t="str">
        <f>[1]试卷成绩登记!E102</f>
        <v>会243</v>
      </c>
      <c r="C100" s="14" t="str">
        <f>[1]试卷成绩登记!B102</f>
        <v>2024311652</v>
      </c>
      <c r="D100" s="14" t="str">
        <f>[1]试卷成绩登记!C102</f>
        <v>李嘉逸</v>
      </c>
      <c r="E100" s="9">
        <f>[1]试卷成绩登记!R102</f>
        <v>10</v>
      </c>
      <c r="F100" s="9">
        <f>[1]试卷成绩登记!S102</f>
        <v>17</v>
      </c>
      <c r="G100" s="9">
        <f>[1]试卷成绩登记!T102</f>
        <v>24</v>
      </c>
      <c r="H100" s="9">
        <f>[1]试卷成绩登记!K102</f>
        <v>50</v>
      </c>
      <c r="I100" s="10">
        <f t="shared" si="1"/>
        <v>71</v>
      </c>
      <c r="J100" s="11"/>
    </row>
    <row r="101" spans="1:10">
      <c r="A101" s="12">
        <f>[1]试卷成绩登记!A102</f>
        <v>100</v>
      </c>
      <c r="B101" s="13" t="str">
        <f>[1]试卷成绩登记!E103</f>
        <v>会243</v>
      </c>
      <c r="C101" s="14" t="str">
        <f>[1]试卷成绩登记!B103</f>
        <v>2024311682</v>
      </c>
      <c r="D101" s="14" t="str">
        <f>[1]试卷成绩登记!C103</f>
        <v>宋奕豪</v>
      </c>
      <c r="E101" s="9">
        <f>[1]试卷成绩登记!R103</f>
        <v>10</v>
      </c>
      <c r="F101" s="9">
        <f>[1]试卷成绩登记!S103</f>
        <v>15</v>
      </c>
      <c r="G101" s="9">
        <f>[1]试卷成绩登记!T103</f>
        <v>22</v>
      </c>
      <c r="H101" s="9">
        <f>[1]试卷成绩登记!K103</f>
        <v>33</v>
      </c>
      <c r="I101" s="10">
        <f t="shared" si="1"/>
        <v>60</v>
      </c>
      <c r="J101" s="11"/>
    </row>
    <row r="102" spans="1:10">
      <c r="A102" s="12">
        <f>[1]试卷成绩登记!A103</f>
        <v>101</v>
      </c>
      <c r="B102" s="13" t="str">
        <f>[1]试卷成绩登记!E104</f>
        <v>会243</v>
      </c>
      <c r="C102" s="14" t="str">
        <f>[1]试卷成绩登记!B104</f>
        <v>2024311689</v>
      </c>
      <c r="D102" s="14" t="str">
        <f>[1]试卷成绩登记!C104</f>
        <v>李云鹏</v>
      </c>
      <c r="E102" s="9">
        <f>[1]试卷成绩登记!R104</f>
        <v>10</v>
      </c>
      <c r="F102" s="9">
        <f>[1]试卷成绩登记!S104</f>
        <v>15</v>
      </c>
      <c r="G102" s="9">
        <f>[1]试卷成绩登记!T104</f>
        <v>23</v>
      </c>
      <c r="H102" s="9">
        <f>[1]试卷成绩登记!K104</f>
        <v>42</v>
      </c>
      <c r="I102" s="10">
        <f t="shared" si="1"/>
        <v>64</v>
      </c>
      <c r="J102" s="11"/>
    </row>
    <row r="103" spans="1:10">
      <c r="A103" s="12">
        <f>[1]试卷成绩登记!A104</f>
        <v>102</v>
      </c>
      <c r="B103" s="13" t="str">
        <f>[1]试卷成绩登记!E105</f>
        <v>会243</v>
      </c>
      <c r="C103" s="14" t="str">
        <f>[1]试卷成绩登记!B105</f>
        <v>2024311700</v>
      </c>
      <c r="D103" s="14" t="str">
        <f>[1]试卷成绩登记!C105</f>
        <v>王坤</v>
      </c>
      <c r="E103" s="9">
        <f>[1]试卷成绩登记!R105</f>
        <v>10</v>
      </c>
      <c r="F103" s="9">
        <f>[1]试卷成绩登记!S105</f>
        <v>14</v>
      </c>
      <c r="G103" s="9">
        <f>[1]试卷成绩登记!T105</f>
        <v>24</v>
      </c>
      <c r="H103" s="9">
        <f>[1]试卷成绩登记!K105</f>
        <v>46</v>
      </c>
      <c r="I103" s="10">
        <f t="shared" si="1"/>
        <v>66</v>
      </c>
      <c r="J103" s="11"/>
    </row>
    <row r="104" spans="1:10">
      <c r="A104" s="12">
        <f>[1]试卷成绩登记!A105</f>
        <v>103</v>
      </c>
      <c r="B104" s="13" t="str">
        <f>[1]试卷成绩登记!E106</f>
        <v>会243</v>
      </c>
      <c r="C104" s="14">
        <f>[1]试卷成绩登记!B106</f>
        <v>2024311752</v>
      </c>
      <c r="D104" s="14" t="str">
        <f>[1]试卷成绩登记!C106</f>
        <v>孙心雨</v>
      </c>
      <c r="E104" s="9">
        <f>[1]试卷成绩登记!R106</f>
        <v>10</v>
      </c>
      <c r="F104" s="9">
        <f>[1]试卷成绩登记!S106</f>
        <v>18</v>
      </c>
      <c r="G104" s="9">
        <f>[1]试卷成绩登记!T106</f>
        <v>27</v>
      </c>
      <c r="H104" s="9">
        <f>[1]试卷成绩登记!K106</f>
        <v>50</v>
      </c>
      <c r="I104" s="10">
        <f t="shared" si="1"/>
        <v>75</v>
      </c>
      <c r="J104" s="11"/>
    </row>
    <row r="105" spans="1:10">
      <c r="A105" s="12">
        <f>[1]试卷成绩登记!A106</f>
        <v>104</v>
      </c>
      <c r="B105" s="13" t="str">
        <f>[1]试卷成绩登记!E107</f>
        <v>会243</v>
      </c>
      <c r="C105" s="14" t="str">
        <f>[1]试卷成绩登记!B107</f>
        <v>2024311757</v>
      </c>
      <c r="D105" s="14" t="str">
        <f>[1]试卷成绩登记!C107</f>
        <v>杨天昊</v>
      </c>
      <c r="E105" s="9">
        <f>[1]试卷成绩登记!R107</f>
        <v>9</v>
      </c>
      <c r="F105" s="9">
        <f>[1]试卷成绩登记!S107</f>
        <v>20</v>
      </c>
      <c r="G105" s="9">
        <f>[1]试卷成绩登记!T107</f>
        <v>30</v>
      </c>
      <c r="H105" s="9">
        <f>[1]试卷成绩登记!K107</f>
        <v>90</v>
      </c>
      <c r="I105" s="10">
        <f t="shared" si="1"/>
        <v>95</v>
      </c>
      <c r="J105" s="11"/>
    </row>
    <row r="106" spans="1:10">
      <c r="A106" s="12">
        <f>[1]试卷成绩登记!A107</f>
        <v>105</v>
      </c>
      <c r="B106" s="13" t="str">
        <f>[1]试卷成绩登记!E108</f>
        <v>会243</v>
      </c>
      <c r="C106" s="14" t="str">
        <f>[1]试卷成绩登记!B108</f>
        <v>2024311759</v>
      </c>
      <c r="D106" s="14" t="str">
        <f>[1]试卷成绩登记!C108</f>
        <v>买佳怡</v>
      </c>
      <c r="E106" s="9">
        <f>[1]试卷成绩登记!R108</f>
        <v>10</v>
      </c>
      <c r="F106" s="9">
        <f>[1]试卷成绩登记!S108</f>
        <v>18</v>
      </c>
      <c r="G106" s="9">
        <f>[1]试卷成绩登记!T108</f>
        <v>30</v>
      </c>
      <c r="H106" s="9">
        <f>[1]试卷成绩登记!K108</f>
        <v>59</v>
      </c>
      <c r="I106" s="10">
        <f t="shared" si="1"/>
        <v>81</v>
      </c>
      <c r="J106" s="11"/>
    </row>
    <row r="107" spans="1:10">
      <c r="A107" s="12">
        <f>[1]试卷成绩登记!A108</f>
        <v>106</v>
      </c>
      <c r="B107" s="13" t="str">
        <f>[1]试卷成绩登记!E109</f>
        <v>会243</v>
      </c>
      <c r="C107" s="14" t="str">
        <f>[1]试卷成绩登记!B109</f>
        <v>2024311830</v>
      </c>
      <c r="D107" s="14" t="str">
        <f>[1]试卷成绩登记!C109</f>
        <v>赵雨彤</v>
      </c>
      <c r="E107" s="9">
        <f>[1]试卷成绩登记!R109</f>
        <v>9</v>
      </c>
      <c r="F107" s="9">
        <f>[1]试卷成绩登记!S109</f>
        <v>15</v>
      </c>
      <c r="G107" s="9">
        <f>[1]试卷成绩登记!T109</f>
        <v>25</v>
      </c>
      <c r="H107" s="9">
        <f>[1]试卷成绩登记!K109</f>
        <v>49</v>
      </c>
      <c r="I107" s="10">
        <f t="shared" si="1"/>
        <v>68</v>
      </c>
      <c r="J107" s="11"/>
    </row>
    <row r="108" spans="1:10">
      <c r="A108" s="12">
        <f>[1]试卷成绩登记!A109</f>
        <v>107</v>
      </c>
      <c r="B108" s="13" t="str">
        <f>[1]试卷成绩登记!E110</f>
        <v>会243</v>
      </c>
      <c r="C108" s="14" t="str">
        <f>[1]试卷成绩登记!B110</f>
        <v>2024311841</v>
      </c>
      <c r="D108" s="14" t="str">
        <f>[1]试卷成绩登记!C110</f>
        <v>张凌嘉</v>
      </c>
      <c r="E108" s="9">
        <f>[1]试卷成绩登记!R110</f>
        <v>10</v>
      </c>
      <c r="F108" s="9">
        <f>[1]试卷成绩登记!S110</f>
        <v>15</v>
      </c>
      <c r="G108" s="9">
        <f>[1]试卷成绩登记!T110</f>
        <v>23</v>
      </c>
      <c r="H108" s="9">
        <f>[1]试卷成绩登记!K110</f>
        <v>39</v>
      </c>
      <c r="I108" s="10">
        <f t="shared" si="1"/>
        <v>63</v>
      </c>
      <c r="J108" s="11"/>
    </row>
    <row r="109" spans="1:10">
      <c r="A109" s="12">
        <f>[1]试卷成绩登记!A110</f>
        <v>108</v>
      </c>
      <c r="B109" s="13" t="str">
        <f>[1]试卷成绩登记!E111</f>
        <v>会243</v>
      </c>
      <c r="C109" s="14" t="str">
        <f>[1]试卷成绩登记!B111</f>
        <v>2024311849</v>
      </c>
      <c r="D109" s="14" t="str">
        <f>[1]试卷成绩登记!C111</f>
        <v>王林清</v>
      </c>
      <c r="E109" s="9">
        <f>[1]试卷成绩登记!R111</f>
        <v>8</v>
      </c>
      <c r="F109" s="9">
        <f>[1]试卷成绩登记!S111</f>
        <v>17</v>
      </c>
      <c r="G109" s="9">
        <f>[1]试卷成绩登记!T111</f>
        <v>22</v>
      </c>
      <c r="H109" s="9">
        <f>[1]试卷成绩登记!K111</f>
        <v>35</v>
      </c>
      <c r="I109" s="10">
        <f t="shared" si="1"/>
        <v>61</v>
      </c>
      <c r="J109" s="11"/>
    </row>
    <row r="110" spans="1:10">
      <c r="A110" s="12">
        <f>[1]试卷成绩登记!A111</f>
        <v>109</v>
      </c>
      <c r="B110" s="13" t="str">
        <f>[1]试卷成绩登记!E112</f>
        <v>会243</v>
      </c>
      <c r="C110" s="14" t="str">
        <f>[1]试卷成绩登记!B112</f>
        <v>2024311857</v>
      </c>
      <c r="D110" s="14" t="str">
        <f>[1]试卷成绩登记!C112</f>
        <v>张逸鹤</v>
      </c>
      <c r="E110" s="9">
        <f>[1]试卷成绩登记!R112</f>
        <v>9</v>
      </c>
      <c r="F110" s="9">
        <f>[1]试卷成绩登记!S112</f>
        <v>15</v>
      </c>
      <c r="G110" s="9">
        <f>[1]试卷成绩登记!T112</f>
        <v>24</v>
      </c>
      <c r="H110" s="9">
        <f>[1]试卷成绩登记!K112</f>
        <v>31</v>
      </c>
      <c r="I110" s="10">
        <f t="shared" si="1"/>
        <v>60</v>
      </c>
      <c r="J110" s="11"/>
    </row>
    <row r="111" spans="1:10">
      <c r="A111" s="12">
        <f>[1]试卷成绩登记!A112</f>
        <v>110</v>
      </c>
      <c r="B111" s="13" t="str">
        <f>[1]试卷成绩登记!E113</f>
        <v>会243</v>
      </c>
      <c r="C111" s="14" t="str">
        <f>[1]试卷成绩登记!B113</f>
        <v>2024311980</v>
      </c>
      <c r="D111" s="14" t="str">
        <f>[1]试卷成绩登记!C113</f>
        <v>韩沛颖</v>
      </c>
      <c r="E111" s="9">
        <f>[1]试卷成绩登记!R113</f>
        <v>9</v>
      </c>
      <c r="F111" s="9">
        <f>[1]试卷成绩登记!S113</f>
        <v>17</v>
      </c>
      <c r="G111" s="9">
        <f>[1]试卷成绩登记!T113</f>
        <v>26</v>
      </c>
      <c r="H111" s="9">
        <f>[1]试卷成绩登记!K113</f>
        <v>70</v>
      </c>
      <c r="I111" s="10">
        <f t="shared" si="1"/>
        <v>80</v>
      </c>
      <c r="J111" s="11"/>
    </row>
    <row r="112" spans="1:10">
      <c r="A112" s="12">
        <f>[1]试卷成绩登记!A113</f>
        <v>111</v>
      </c>
      <c r="B112" s="13" t="str">
        <f>[1]试卷成绩登记!E114</f>
        <v>会251</v>
      </c>
      <c r="C112" s="14" t="str">
        <f>[1]试卷成绩登记!B114</f>
        <v>2025312280</v>
      </c>
      <c r="D112" s="14" t="str">
        <f>[1]试卷成绩登记!C114</f>
        <v>张雨婷</v>
      </c>
      <c r="E112" s="9">
        <f>[1]试卷成绩登记!R114</f>
        <v>9</v>
      </c>
      <c r="F112" s="9">
        <f>[1]试卷成绩登记!S114</f>
        <v>20</v>
      </c>
      <c r="G112" s="9">
        <f>[1]试卷成绩登记!T114</f>
        <v>30</v>
      </c>
      <c r="H112" s="9">
        <f>[1]试卷成绩登记!K114</f>
        <v>56</v>
      </c>
      <c r="I112" s="10">
        <f t="shared" si="1"/>
        <v>81</v>
      </c>
      <c r="J112" s="11"/>
    </row>
    <row r="113" spans="10:10">
      <c r="J113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swm</dc:creator>
  <cp:lastModifiedBy>swm</cp:lastModifiedBy>
  <dcterms:created xsi:type="dcterms:W3CDTF">2015-06-05T18:19:34Z</dcterms:created>
  <dcterms:modified xsi:type="dcterms:W3CDTF">2026-06-02T07:30:40Z</dcterms:modified>
</cp:coreProperties>
</file>